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amurphy/Downloads/"/>
    </mc:Choice>
  </mc:AlternateContent>
  <xr:revisionPtr revIDLastSave="0" documentId="8_{B5C27525-05AF-E04D-81BE-442084266358}" xr6:coauthVersionLast="47" xr6:coauthVersionMax="47" xr10:uidLastSave="{00000000-0000-0000-0000-000000000000}"/>
  <bookViews>
    <workbookView xWindow="9500" yWindow="500" windowWidth="26060" windowHeight="16300" activeTab="1" xr2:uid="{A1F255B9-F820-4F42-A2C7-BDE5D336192D}"/>
  </bookViews>
  <sheets>
    <sheet name="Main Mode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/>
  <c r="G38" i="1"/>
  <c r="G39" i="1"/>
  <c r="G40" i="1"/>
  <c r="G41" i="1"/>
  <c r="G42" i="1"/>
  <c r="G43" i="1"/>
  <c r="G44" i="1"/>
  <c r="G45" i="1"/>
  <c r="G35" i="1"/>
  <c r="F35" i="1"/>
  <c r="F36" i="1"/>
  <c r="F37" i="1"/>
  <c r="F38" i="1"/>
  <c r="F39" i="1"/>
  <c r="F40" i="1"/>
  <c r="F41" i="1"/>
  <c r="F42" i="1"/>
  <c r="F43" i="1"/>
  <c r="F44" i="1"/>
  <c r="F45" i="1"/>
  <c r="E36" i="1"/>
  <c r="E37" i="1"/>
  <c r="E38" i="1"/>
  <c r="E39" i="1"/>
  <c r="E40" i="1"/>
  <c r="E41" i="1"/>
  <c r="E42" i="1"/>
  <c r="E43" i="1"/>
  <c r="E44" i="1"/>
  <c r="E45" i="1"/>
  <c r="E35" i="1"/>
  <c r="B24" i="1"/>
  <c r="D35" i="1"/>
  <c r="F22" i="1"/>
  <c r="F21" i="1"/>
  <c r="F20" i="1"/>
  <c r="F19" i="1"/>
  <c r="B31" i="1"/>
  <c r="B30" i="1"/>
  <c r="B28" i="1"/>
  <c r="B27" i="1"/>
  <c r="B22" i="1"/>
  <c r="B23" i="1" s="1"/>
  <c r="B20" i="1"/>
  <c r="D42" i="1" s="1"/>
  <c r="B19" i="1"/>
  <c r="B35" i="1"/>
  <c r="C35" i="1" s="1"/>
  <c r="B38" i="1"/>
  <c r="C38" i="1" s="1"/>
  <c r="B37" i="1"/>
  <c r="C37" i="1" s="1"/>
  <c r="B36" i="1"/>
  <c r="C36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14" i="1"/>
  <c r="B25" i="1" l="1"/>
  <c r="D40" i="1"/>
  <c r="D41" i="1"/>
  <c r="D39" i="1"/>
  <c r="D38" i="1"/>
  <c r="D37" i="1"/>
  <c r="D36" i="1"/>
  <c r="D43" i="1"/>
  <c r="D45" i="1"/>
  <c r="D44" i="1"/>
</calcChain>
</file>

<file path=xl/sharedStrings.xml><?xml version="1.0" encoding="utf-8"?>
<sst xmlns="http://schemas.openxmlformats.org/spreadsheetml/2006/main" count="68" uniqueCount="58">
  <si>
    <t>Stage 3 - FX Hedge Model</t>
  </si>
  <si>
    <t>Inputs</t>
  </si>
  <si>
    <t>Variable</t>
  </si>
  <si>
    <t>Amount</t>
  </si>
  <si>
    <t>Unit</t>
  </si>
  <si>
    <t>FC_AMT</t>
  </si>
  <si>
    <t>S₀</t>
  </si>
  <si>
    <t>F₀</t>
  </si>
  <si>
    <t>r_USD</t>
  </si>
  <si>
    <t>r_EUR</t>
  </si>
  <si>
    <t>t</t>
  </si>
  <si>
    <t>K_put</t>
  </si>
  <si>
    <t>K_call</t>
  </si>
  <si>
    <t>Premium_put</t>
  </si>
  <si>
    <t>Premium_call</t>
  </si>
  <si>
    <t>EUR</t>
  </si>
  <si>
    <t>USD/EUR</t>
  </si>
  <si>
    <t>% annual</t>
  </si>
  <si>
    <t>years</t>
  </si>
  <si>
    <t>USD per contract</t>
  </si>
  <si>
    <t>Forward</t>
  </si>
  <si>
    <t>Calculated Hedge Proceeds (USD)</t>
  </si>
  <si>
    <t>Money Market</t>
  </si>
  <si>
    <t>S_T</t>
  </si>
  <si>
    <t>Outputs</t>
  </si>
  <si>
    <t>Unhedged</t>
  </si>
  <si>
    <t>Date Created:</t>
  </si>
  <si>
    <t>Assignment Due Date:</t>
  </si>
  <si>
    <t>Assumptions:</t>
  </si>
  <si>
    <t>Interest rates are simple annual yields on a 360-day basis</t>
  </si>
  <si>
    <t xml:space="preserve">Forward rate follows interest-rate parity </t>
  </si>
  <si>
    <t>Option premium is paid upfront in USD</t>
  </si>
  <si>
    <t>Transaction costs of 0.05% apply equally to all hedges</t>
  </si>
  <si>
    <t>Exchange rates are quoted as USD per EUR</t>
  </si>
  <si>
    <t>Results are expressed in USD proceeds at the 1-year horizon.</t>
  </si>
  <si>
    <t>Options are European-styule and execised only at maturity.</t>
  </si>
  <si>
    <t>No taxation, credit, or liquidity frictions.</t>
  </si>
  <si>
    <t>Transaction cost</t>
  </si>
  <si>
    <t>%</t>
  </si>
  <si>
    <t>EUR_borrowed</t>
  </si>
  <si>
    <t>USD_today</t>
  </si>
  <si>
    <t>USD_mm</t>
  </si>
  <si>
    <t>EUR_repayment</t>
  </si>
  <si>
    <t>Premium_put_total</t>
  </si>
  <si>
    <t>Sensitivity Table</t>
  </si>
  <si>
    <t>S_T Multiplier</t>
  </si>
  <si>
    <t>MM</t>
  </si>
  <si>
    <t>Put Option</t>
  </si>
  <si>
    <t>Call Option</t>
  </si>
  <si>
    <t>Call (Short)</t>
  </si>
  <si>
    <t>Premium per EUR</t>
  </si>
  <si>
    <t>Put ( Long)</t>
  </si>
  <si>
    <t>Total premium USD</t>
  </si>
  <si>
    <t>Summary</t>
  </si>
  <si>
    <t>USD_forward</t>
  </si>
  <si>
    <t>USD_put</t>
  </si>
  <si>
    <t>USD_call</t>
  </si>
  <si>
    <t>Noveber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</si>
</sst>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188038"/>
      <name val="Times New Roman"/>
      <family val="1"/>
    </font>
    <font>
      <b/>
      <sz val="12"/>
      <color theme="1"/>
      <name val="Aptos Narrow"/>
      <scheme val="minor"/>
    </font>
    <font>
      <b/>
      <sz val="16"/>
      <color theme="1"/>
      <name val="Aptos Display"/>
      <scheme val="major"/>
    </font>
    <font>
      <b/>
      <sz val="18"/>
      <color theme="1"/>
      <name val="Aptos Display"/>
      <scheme val="major"/>
    </font>
    <font>
      <b/>
      <sz val="12"/>
      <color theme="1"/>
      <name val="Aptos Display (Headings)"/>
    </font>
    <font>
      <b/>
      <sz val="16"/>
      <color theme="1"/>
      <name val="Aptos Display (Headings)"/>
    </font>
    <font>
      <b/>
      <sz val="14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8" fillId="0" borderId="0" xfId="0" applyFont="1"/>
    <xf numFmtId="0" fontId="0" fillId="0" borderId="3" xfId="0" applyBorder="1"/>
    <xf numFmtId="164" fontId="0" fillId="0" borderId="3" xfId="0" applyNumberFormat="1" applyBorder="1"/>
    <xf numFmtId="10" fontId="0" fillId="0" borderId="3" xfId="0" applyNumberFormat="1" applyBorder="1"/>
    <xf numFmtId="10" fontId="0" fillId="0" borderId="3" xfId="1" applyNumberFormat="1" applyFont="1" applyBorder="1"/>
    <xf numFmtId="2" fontId="0" fillId="0" borderId="3" xfId="0" applyNumberFormat="1" applyBorder="1"/>
    <xf numFmtId="10" fontId="0" fillId="0" borderId="4" xfId="0" applyNumberFormat="1" applyBorder="1"/>
    <xf numFmtId="0" fontId="0" fillId="0" borderId="4" xfId="0" applyBorder="1"/>
    <xf numFmtId="0" fontId="0" fillId="0" borderId="2" xfId="0" applyBorder="1"/>
    <xf numFmtId="0" fontId="0" fillId="0" borderId="1" xfId="0" applyBorder="1"/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3" fillId="4" borderId="1" xfId="0" applyFont="1" applyFill="1" applyBorder="1"/>
    <xf numFmtId="0" fontId="6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" fillId="2" borderId="1" xfId="0" applyFont="1" applyFill="1" applyBorder="1"/>
    <xf numFmtId="0" fontId="10" fillId="2" borderId="1" xfId="0" applyFont="1" applyFill="1" applyBorder="1"/>
    <xf numFmtId="0" fontId="6" fillId="2" borderId="1" xfId="0" applyFont="1" applyFill="1" applyBorder="1"/>
    <xf numFmtId="0" fontId="11" fillId="0" borderId="0" xfId="0" applyFont="1" applyFill="1" applyBorder="1" applyAlignment="1"/>
    <xf numFmtId="0" fontId="0" fillId="0" borderId="0" xfId="0" applyBorder="1"/>
    <xf numFmtId="0" fontId="11" fillId="3" borderId="5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2" fontId="0" fillId="2" borderId="1" xfId="0" applyNumberFormat="1" applyFill="1" applyBorder="1"/>
    <xf numFmtId="0" fontId="2" fillId="0" borderId="0" xfId="0" applyFont="1" applyFill="1" applyBorder="1"/>
    <xf numFmtId="0" fontId="0" fillId="0" borderId="0" xfId="0" applyFill="1" applyBorder="1"/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1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and Ending USD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Model'!$B$34</c:f>
              <c:strCache>
                <c:ptCount val="1"/>
                <c:pt idx="0">
                  <c:v>S_T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Model'!$B$34</c:f>
              <c:strCache>
                <c:ptCount val="1"/>
                <c:pt idx="0">
                  <c:v>S_T</c:v>
                </c:pt>
              </c:strCache>
            </c:strRef>
          </c:cat>
          <c:val>
            <c:numRef>
              <c:f>'Main Model'!$B$35:$B$46</c:f>
              <c:numCache>
                <c:formatCode>General</c:formatCode>
                <c:ptCount val="12"/>
                <c:pt idx="0">
                  <c:v>1.1038049999999999</c:v>
                </c:pt>
                <c:pt idx="1">
                  <c:v>1.115424</c:v>
                </c:pt>
                <c:pt idx="2">
                  <c:v>1.1270429999999998</c:v>
                </c:pt>
                <c:pt idx="3">
                  <c:v>1.1386619999999998</c:v>
                </c:pt>
                <c:pt idx="4">
                  <c:v>1.1502809999999999</c:v>
                </c:pt>
                <c:pt idx="5">
                  <c:v>1.1618999999999999</c:v>
                </c:pt>
                <c:pt idx="6">
                  <c:v>1.173519</c:v>
                </c:pt>
                <c:pt idx="7">
                  <c:v>1.185138</c:v>
                </c:pt>
                <c:pt idx="8">
                  <c:v>1.1967570000000001</c:v>
                </c:pt>
                <c:pt idx="9">
                  <c:v>1.2083759999999999</c:v>
                </c:pt>
                <c:pt idx="10">
                  <c:v>1.2199949999999999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6-2D47-8CD3-6313826C4E38}"/>
            </c:ext>
          </c:extLst>
        </c:ser>
        <c:ser>
          <c:idx val="1"/>
          <c:order val="1"/>
          <c:tx>
            <c:strRef>
              <c:f>'Main Model'!$C$34</c:f>
              <c:strCache>
                <c:ptCount val="1"/>
                <c:pt idx="0">
                  <c:v>Unhedged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'Main Model'!$B$34</c:f>
              <c:strCache>
                <c:ptCount val="1"/>
                <c:pt idx="0">
                  <c:v>S_T</c:v>
                </c:pt>
              </c:strCache>
            </c:strRef>
          </c:cat>
          <c:val>
            <c:numRef>
              <c:f>'Main Model'!$C$35:$C$46</c:f>
              <c:numCache>
                <c:formatCode>General</c:formatCode>
                <c:ptCount val="12"/>
                <c:pt idx="0">
                  <c:v>4964638.9387500007</c:v>
                </c:pt>
                <c:pt idx="1">
                  <c:v>5016898.2960000001</c:v>
                </c:pt>
                <c:pt idx="2">
                  <c:v>5069157.6532499995</c:v>
                </c:pt>
                <c:pt idx="3">
                  <c:v>5121417.0104999989</c:v>
                </c:pt>
                <c:pt idx="4">
                  <c:v>5173676.3677499993</c:v>
                </c:pt>
                <c:pt idx="5">
                  <c:v>5225935.7250000006</c:v>
                </c:pt>
                <c:pt idx="6">
                  <c:v>5278195.08225</c:v>
                </c:pt>
                <c:pt idx="7">
                  <c:v>5330454.4395000003</c:v>
                </c:pt>
                <c:pt idx="8">
                  <c:v>5382713.7967500007</c:v>
                </c:pt>
                <c:pt idx="9">
                  <c:v>5434973.1539999992</c:v>
                </c:pt>
                <c:pt idx="10">
                  <c:v>5487232.5112500004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6-2D47-8CD3-6313826C4E38}"/>
            </c:ext>
          </c:extLst>
        </c:ser>
        <c:ser>
          <c:idx val="2"/>
          <c:order val="2"/>
          <c:tx>
            <c:strRef>
              <c:f>'Main Model'!$D$34</c:f>
              <c:strCache>
                <c:ptCount val="1"/>
                <c:pt idx="0">
                  <c:v>Forward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'Main Model'!$B$34</c:f>
              <c:strCache>
                <c:ptCount val="1"/>
                <c:pt idx="0">
                  <c:v>S_T</c:v>
                </c:pt>
              </c:strCache>
            </c:strRef>
          </c:cat>
          <c:val>
            <c:numRef>
              <c:f>'Main Model'!$D$35:$D$46</c:f>
              <c:numCache>
                <c:formatCode>General</c:formatCode>
                <c:ptCount val="12"/>
                <c:pt idx="0">
                  <c:v>4893750</c:v>
                </c:pt>
                <c:pt idx="1">
                  <c:v>4893750</c:v>
                </c:pt>
                <c:pt idx="2">
                  <c:v>4893750</c:v>
                </c:pt>
                <c:pt idx="3">
                  <c:v>4893750</c:v>
                </c:pt>
                <c:pt idx="4">
                  <c:v>4893750</c:v>
                </c:pt>
                <c:pt idx="5">
                  <c:v>4893750</c:v>
                </c:pt>
                <c:pt idx="6">
                  <c:v>4893750</c:v>
                </c:pt>
                <c:pt idx="7">
                  <c:v>4893750</c:v>
                </c:pt>
                <c:pt idx="8">
                  <c:v>4893750</c:v>
                </c:pt>
                <c:pt idx="9">
                  <c:v>4893750</c:v>
                </c:pt>
                <c:pt idx="10">
                  <c:v>4893750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6-2D47-8CD3-6313826C4E38}"/>
            </c:ext>
          </c:extLst>
        </c:ser>
        <c:ser>
          <c:idx val="3"/>
          <c:order val="3"/>
          <c:tx>
            <c:strRef>
              <c:f>'Main Model'!$E$34</c:f>
              <c:strCache>
                <c:ptCount val="1"/>
                <c:pt idx="0">
                  <c:v>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'Main Model'!$B$34</c:f>
              <c:strCache>
                <c:ptCount val="1"/>
                <c:pt idx="0">
                  <c:v>S_T</c:v>
                </c:pt>
              </c:strCache>
            </c:strRef>
          </c:cat>
          <c:val>
            <c:numRef>
              <c:f>'Main Model'!$E$35:$E$46</c:f>
              <c:numCache>
                <c:formatCode>General</c:formatCode>
                <c:ptCount val="12"/>
                <c:pt idx="0">
                  <c:v>5246263.6046849294</c:v>
                </c:pt>
                <c:pt idx="1">
                  <c:v>5246263.6046849294</c:v>
                </c:pt>
                <c:pt idx="2">
                  <c:v>5246263.6046849294</c:v>
                </c:pt>
                <c:pt idx="3">
                  <c:v>5246263.6046849294</c:v>
                </c:pt>
                <c:pt idx="4">
                  <c:v>5246263.6046849294</c:v>
                </c:pt>
                <c:pt idx="5">
                  <c:v>5246263.6046849294</c:v>
                </c:pt>
                <c:pt idx="6">
                  <c:v>5246263.6046849294</c:v>
                </c:pt>
                <c:pt idx="7">
                  <c:v>5246263.6046849294</c:v>
                </c:pt>
                <c:pt idx="8">
                  <c:v>5246263.6046849294</c:v>
                </c:pt>
                <c:pt idx="9">
                  <c:v>5246263.6046849294</c:v>
                </c:pt>
                <c:pt idx="10">
                  <c:v>5246263.6046849294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46-2D47-8CD3-6313826C4E38}"/>
            </c:ext>
          </c:extLst>
        </c:ser>
        <c:ser>
          <c:idx val="4"/>
          <c:order val="4"/>
          <c:tx>
            <c:strRef>
              <c:f>'Main Model'!$F$34</c:f>
              <c:strCache>
                <c:ptCount val="1"/>
                <c:pt idx="0">
                  <c:v>Put Option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'Main Model'!$B$34</c:f>
              <c:strCache>
                <c:ptCount val="1"/>
                <c:pt idx="0">
                  <c:v>S_T</c:v>
                </c:pt>
              </c:strCache>
            </c:strRef>
          </c:cat>
          <c:val>
            <c:numRef>
              <c:f>'Main Model'!$F$35:$F$46</c:f>
              <c:numCache>
                <c:formatCode>General</c:formatCode>
                <c:ptCount val="12"/>
                <c:pt idx="0">
                  <c:v>4826250</c:v>
                </c:pt>
                <c:pt idx="1">
                  <c:v>4826250</c:v>
                </c:pt>
                <c:pt idx="2">
                  <c:v>4826250</c:v>
                </c:pt>
                <c:pt idx="3">
                  <c:v>4826250</c:v>
                </c:pt>
                <c:pt idx="4">
                  <c:v>4826250</c:v>
                </c:pt>
                <c:pt idx="5">
                  <c:v>4826250</c:v>
                </c:pt>
                <c:pt idx="6">
                  <c:v>4826250</c:v>
                </c:pt>
                <c:pt idx="7">
                  <c:v>4826250</c:v>
                </c:pt>
                <c:pt idx="8">
                  <c:v>4826249.9999999991</c:v>
                </c:pt>
                <c:pt idx="9">
                  <c:v>4826249.9999999991</c:v>
                </c:pt>
                <c:pt idx="10">
                  <c:v>4826249.9999999991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46-2D47-8CD3-6313826C4E38}"/>
            </c:ext>
          </c:extLst>
        </c:ser>
        <c:ser>
          <c:idx val="5"/>
          <c:order val="5"/>
          <c:tx>
            <c:strRef>
              <c:f>'Main Model'!$G$34</c:f>
              <c:strCache>
                <c:ptCount val="1"/>
                <c:pt idx="0">
                  <c:v>Call Option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'Main Model'!$B$34</c:f>
              <c:strCache>
                <c:ptCount val="1"/>
                <c:pt idx="0">
                  <c:v>S_T</c:v>
                </c:pt>
              </c:strCache>
            </c:strRef>
          </c:cat>
          <c:val>
            <c:numRef>
              <c:f>'Main Model'!$G$35:$G$46</c:f>
              <c:numCache>
                <c:formatCode>General</c:formatCode>
                <c:ptCount val="12"/>
                <c:pt idx="0">
                  <c:v>81000</c:v>
                </c:pt>
                <c:pt idx="1">
                  <c:v>81000</c:v>
                </c:pt>
                <c:pt idx="2">
                  <c:v>81000</c:v>
                </c:pt>
                <c:pt idx="3">
                  <c:v>81000</c:v>
                </c:pt>
                <c:pt idx="4">
                  <c:v>81000</c:v>
                </c:pt>
                <c:pt idx="5">
                  <c:v>81000</c:v>
                </c:pt>
                <c:pt idx="6">
                  <c:v>81000</c:v>
                </c:pt>
                <c:pt idx="7">
                  <c:v>81000</c:v>
                </c:pt>
                <c:pt idx="8">
                  <c:v>81000</c:v>
                </c:pt>
                <c:pt idx="9">
                  <c:v>81000</c:v>
                </c:pt>
                <c:pt idx="10">
                  <c:v>81000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2D47-8CD3-6313826C4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236240"/>
        <c:axId val="979168960"/>
      </c:lineChart>
      <c:catAx>
        <c:axId val="5162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168960"/>
        <c:crosses val="autoZero"/>
        <c:auto val="1"/>
        <c:lblAlgn val="ctr"/>
        <c:lblOffset val="100"/>
        <c:noMultiLvlLbl val="0"/>
      </c:catAx>
      <c:valAx>
        <c:axId val="9791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3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480733</xdr:colOff>
      <xdr:row>23</xdr:row>
      <xdr:rowOff>137832</xdr:rowOff>
    </xdr:from>
    <xdr:to>
      <xdr:col>17</xdr:col>
      <xdr:colOff>298824</xdr:colOff>
      <xdr:row>44</xdr:row>
      <xdr:rowOff>93382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FBE345-38E3-91C2-AA1D-FF7413730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1009487</xdr:colOff>
      <xdr:row>3</xdr:row>
      <xdr:rowOff>1</xdr:rowOff>
    </xdr:from>
    <xdr:ext cx="3473505" cy="199726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3F32F6-3AAE-C8A3-BB2C-8A043D46CF1E}"/>
            </a:ext>
          </a:extLst>
        </xdr:cNvPr>
        <xdr:cNvSpPr txBox="1"/>
      </xdr:nvSpPr>
      <xdr:spPr>
        <a:xfrm>
          <a:off x="4667521" y="792394"/>
          <a:ext cx="3473505" cy="199726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The quantitative analysis of 4.5 million</a:t>
          </a:r>
          <a:r>
            <a:rPr lang="en-US" sz="1100" baseline="0"/>
            <a:t> receivable confirms that a passive approach exposes the firm to a potential loss of over $400,000 (assuming a 5% euro depreciation. The modeling results highlight that the Money Market Hedge yields a net proceeds of about $5.23 million. The Put Option Hedge also presents a favorable risk-reward profile for risk-averse firms that seek flexibility. It establishes a "floor" while preservign the benefit if EUR/USD rate strengthens. We recommend prioritizing the executiuon of the MMH while simultaneously investigating the underlying cause of this market anomoly before final execution.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7E8F-CB66-7E46-A9E8-E94D371B1134}">
  <sheetPr>
    <tabColor theme="4" tint="0.79998168889431442"/>
  </sheetPr>
  <dimension ref="A1:H49"/>
  <sheetViews>
    <sheetView topLeftCell="C1" zoomScale="117" workbookViewId="0">
      <selection activeCell="I18" sqref="I18"/>
    </sheetView>
  </sheetViews>
  <sheetFormatPr baseColWidth="10" defaultRowHeight="16" x14ac:dyDescent="0.2"/>
  <cols>
    <col min="1" max="1" width="17.83203125" customWidth="1"/>
    <col min="2" max="2" width="14.83203125" customWidth="1"/>
    <col min="3" max="3" width="15.33203125" customWidth="1"/>
    <col min="4" max="4" width="13.33203125" customWidth="1"/>
    <col min="7" max="7" width="12.83203125" bestFit="1" customWidth="1"/>
  </cols>
  <sheetData>
    <row r="1" spans="1:8" ht="24" x14ac:dyDescent="0.3">
      <c r="A1" s="3" t="s">
        <v>0</v>
      </c>
      <c r="B1" s="3"/>
      <c r="C1" s="4"/>
    </row>
    <row r="3" spans="1:8" ht="22" x14ac:dyDescent="0.3">
      <c r="A3" s="31" t="s">
        <v>1</v>
      </c>
      <c r="B3" s="32"/>
      <c r="C3" s="33"/>
      <c r="E3" s="40" t="s">
        <v>53</v>
      </c>
      <c r="F3" s="41"/>
      <c r="G3" s="41"/>
      <c r="H3" s="42"/>
    </row>
    <row r="4" spans="1:8" x14ac:dyDescent="0.2">
      <c r="A4" s="19" t="s">
        <v>2</v>
      </c>
      <c r="B4" s="19" t="s">
        <v>3</v>
      </c>
      <c r="C4" s="19" t="s">
        <v>4</v>
      </c>
      <c r="E4" s="15"/>
      <c r="F4" s="15"/>
      <c r="G4" s="15"/>
      <c r="H4" s="15"/>
    </row>
    <row r="5" spans="1:8" x14ac:dyDescent="0.2">
      <c r="A5" s="24" t="s">
        <v>5</v>
      </c>
      <c r="B5" s="7">
        <v>4500000</v>
      </c>
      <c r="C5" s="7" t="s">
        <v>15</v>
      </c>
      <c r="E5" s="15"/>
      <c r="F5" s="15"/>
      <c r="G5" s="15"/>
      <c r="H5" s="15"/>
    </row>
    <row r="6" spans="1:8" x14ac:dyDescent="0.2">
      <c r="A6" s="24" t="s">
        <v>6</v>
      </c>
      <c r="B6" s="7">
        <v>1.1618999999999999</v>
      </c>
      <c r="C6" s="7" t="s">
        <v>16</v>
      </c>
      <c r="E6" s="15"/>
      <c r="F6" s="15"/>
      <c r="G6" s="15"/>
      <c r="H6" s="15"/>
    </row>
    <row r="7" spans="1:8" x14ac:dyDescent="0.2">
      <c r="A7" s="24" t="s">
        <v>7</v>
      </c>
      <c r="B7" s="8">
        <v>1.0874999999999999</v>
      </c>
      <c r="C7" s="7" t="s">
        <v>16</v>
      </c>
      <c r="E7" s="15"/>
      <c r="F7" s="15"/>
      <c r="G7" s="15"/>
      <c r="H7" s="15"/>
    </row>
    <row r="8" spans="1:8" x14ac:dyDescent="0.2">
      <c r="A8" s="24" t="s">
        <v>8</v>
      </c>
      <c r="B8" s="9">
        <v>3.6600000000000001E-2</v>
      </c>
      <c r="C8" s="7" t="s">
        <v>17</v>
      </c>
      <c r="E8" s="15"/>
      <c r="F8" s="15"/>
      <c r="G8" s="15"/>
      <c r="H8" s="15"/>
    </row>
    <row r="9" spans="1:8" x14ac:dyDescent="0.2">
      <c r="A9" s="24" t="s">
        <v>9</v>
      </c>
      <c r="B9" s="10">
        <v>3.3099999999999997E-2</v>
      </c>
      <c r="C9" s="7" t="s">
        <v>17</v>
      </c>
      <c r="E9" s="15"/>
      <c r="F9" s="15"/>
      <c r="G9" s="15"/>
      <c r="H9" s="15"/>
    </row>
    <row r="10" spans="1:8" x14ac:dyDescent="0.2">
      <c r="A10" s="24" t="s">
        <v>10</v>
      </c>
      <c r="B10" s="11">
        <v>1</v>
      </c>
      <c r="C10" s="7" t="s">
        <v>18</v>
      </c>
      <c r="E10" s="15"/>
      <c r="F10" s="15"/>
      <c r="G10" s="15"/>
      <c r="H10" s="15"/>
    </row>
    <row r="11" spans="1:8" x14ac:dyDescent="0.2">
      <c r="A11" s="24" t="s">
        <v>11</v>
      </c>
      <c r="B11" s="8">
        <v>1.0874999999999999</v>
      </c>
      <c r="C11" s="7" t="s">
        <v>16</v>
      </c>
      <c r="E11" s="15"/>
      <c r="F11" s="15"/>
      <c r="G11" s="15"/>
      <c r="H11" s="15"/>
    </row>
    <row r="12" spans="1:8" x14ac:dyDescent="0.2">
      <c r="A12" s="24" t="s">
        <v>12</v>
      </c>
      <c r="B12" s="8">
        <v>1.0874999999999999</v>
      </c>
      <c r="C12" s="7" t="s">
        <v>16</v>
      </c>
      <c r="E12" s="14"/>
      <c r="F12" s="14"/>
      <c r="G12" s="14"/>
      <c r="H12" s="14"/>
    </row>
    <row r="13" spans="1:8" x14ac:dyDescent="0.2">
      <c r="A13" s="24" t="s">
        <v>13</v>
      </c>
      <c r="B13" s="7">
        <v>1.4999999999999999E-2</v>
      </c>
      <c r="C13" s="7" t="s">
        <v>19</v>
      </c>
      <c r="E13" s="28"/>
      <c r="F13" s="28"/>
      <c r="G13" s="28"/>
      <c r="H13" s="28"/>
    </row>
    <row r="14" spans="1:8" x14ac:dyDescent="0.2">
      <c r="A14" s="24" t="s">
        <v>43</v>
      </c>
      <c r="B14" s="7">
        <f>B13*B5</f>
        <v>67500</v>
      </c>
      <c r="C14" s="7"/>
    </row>
    <row r="15" spans="1:8" x14ac:dyDescent="0.2">
      <c r="A15" s="24" t="s">
        <v>14</v>
      </c>
      <c r="B15" s="7">
        <v>1.7999999999999999E-2</v>
      </c>
      <c r="C15" s="7" t="s">
        <v>19</v>
      </c>
    </row>
    <row r="16" spans="1:8" x14ac:dyDescent="0.2">
      <c r="A16" s="24" t="s">
        <v>37</v>
      </c>
      <c r="B16" s="12">
        <v>5.0000000000000001E-4</v>
      </c>
      <c r="C16" s="13" t="s">
        <v>38</v>
      </c>
    </row>
    <row r="18" spans="1:7" ht="22" x14ac:dyDescent="0.3">
      <c r="A18" s="16" t="s">
        <v>21</v>
      </c>
      <c r="B18" s="17"/>
      <c r="C18" s="18"/>
      <c r="E18" s="29" t="s">
        <v>24</v>
      </c>
      <c r="F18" s="30"/>
      <c r="G18" s="27"/>
    </row>
    <row r="19" spans="1:7" x14ac:dyDescent="0.2">
      <c r="A19" s="20" t="s">
        <v>25</v>
      </c>
      <c r="B19" s="15">
        <f>B5*B6</f>
        <v>5228550</v>
      </c>
      <c r="E19" s="24" t="s">
        <v>54</v>
      </c>
      <c r="F19" s="15">
        <f>B20</f>
        <v>4893750</v>
      </c>
      <c r="G19" s="28"/>
    </row>
    <row r="20" spans="1:7" x14ac:dyDescent="0.2">
      <c r="A20" s="19" t="s">
        <v>20</v>
      </c>
      <c r="B20" s="15">
        <f>(B5*B7)</f>
        <v>4893750</v>
      </c>
      <c r="E20" s="24" t="s">
        <v>41</v>
      </c>
      <c r="F20" s="15">
        <f>B24</f>
        <v>5246263.6046849294</v>
      </c>
      <c r="G20" s="28"/>
    </row>
    <row r="21" spans="1:7" x14ac:dyDescent="0.2">
      <c r="A21" s="21" t="s">
        <v>22</v>
      </c>
      <c r="B21" s="21"/>
      <c r="E21" s="24" t="s">
        <v>55</v>
      </c>
      <c r="F21" s="15">
        <f>B28</f>
        <v>67500</v>
      </c>
    </row>
    <row r="22" spans="1:7" x14ac:dyDescent="0.2">
      <c r="A22" s="25" t="s">
        <v>39</v>
      </c>
      <c r="B22" s="15">
        <f>B5/(1+B9*B10)</f>
        <v>4355822.2824508762</v>
      </c>
      <c r="E22" s="24" t="s">
        <v>56</v>
      </c>
      <c r="F22" s="15">
        <f>B31</f>
        <v>81000</v>
      </c>
    </row>
    <row r="23" spans="1:7" x14ac:dyDescent="0.2">
      <c r="A23" s="25" t="s">
        <v>40</v>
      </c>
      <c r="B23" s="15">
        <f>B22*B6</f>
        <v>5061029.9099796731</v>
      </c>
    </row>
    <row r="24" spans="1:7" x14ac:dyDescent="0.2">
      <c r="A24" s="25" t="s">
        <v>41</v>
      </c>
      <c r="B24" s="15">
        <f>B23*(1+B8*B10)</f>
        <v>5246263.6046849294</v>
      </c>
      <c r="F24" s="38"/>
      <c r="G24" s="39"/>
    </row>
    <row r="25" spans="1:7" x14ac:dyDescent="0.2">
      <c r="A25" s="25" t="s">
        <v>42</v>
      </c>
      <c r="B25" s="15">
        <f>B22*(1+B9)</f>
        <v>4500000</v>
      </c>
      <c r="F25" s="38"/>
      <c r="G25" s="39"/>
    </row>
    <row r="26" spans="1:7" x14ac:dyDescent="0.2">
      <c r="A26" s="22" t="s">
        <v>51</v>
      </c>
      <c r="B26" s="22"/>
      <c r="F26" s="38"/>
      <c r="G26" s="39"/>
    </row>
    <row r="27" spans="1:7" x14ac:dyDescent="0.2">
      <c r="A27" s="26" t="s">
        <v>50</v>
      </c>
      <c r="B27" s="15">
        <f>B24</f>
        <v>5246263.6046849294</v>
      </c>
      <c r="F27" s="38"/>
      <c r="G27" s="39"/>
    </row>
    <row r="28" spans="1:7" x14ac:dyDescent="0.2">
      <c r="A28" s="26" t="s">
        <v>52</v>
      </c>
      <c r="B28" s="15">
        <f>B13*B5</f>
        <v>67500</v>
      </c>
    </row>
    <row r="29" spans="1:7" x14ac:dyDescent="0.2">
      <c r="A29" s="23" t="s">
        <v>49</v>
      </c>
      <c r="B29" s="23"/>
    </row>
    <row r="30" spans="1:7" x14ac:dyDescent="0.2">
      <c r="A30" s="26" t="s">
        <v>50</v>
      </c>
      <c r="B30" s="15">
        <f>B15</f>
        <v>1.7999999999999999E-2</v>
      </c>
    </row>
    <row r="31" spans="1:7" x14ac:dyDescent="0.2">
      <c r="A31" s="26" t="s">
        <v>52</v>
      </c>
      <c r="B31" s="15">
        <f>B30*B5</f>
        <v>81000</v>
      </c>
    </row>
    <row r="32" spans="1:7" x14ac:dyDescent="0.2">
      <c r="A32" s="5"/>
    </row>
    <row r="33" spans="1:7" ht="20" x14ac:dyDescent="0.25">
      <c r="A33" s="34" t="s">
        <v>44</v>
      </c>
      <c r="B33" s="34"/>
      <c r="C33" s="34"/>
      <c r="D33" s="34"/>
      <c r="E33" s="34"/>
      <c r="F33" s="34"/>
      <c r="G33" s="34"/>
    </row>
    <row r="34" spans="1:7" x14ac:dyDescent="0.2">
      <c r="A34" s="19" t="s">
        <v>45</v>
      </c>
      <c r="B34" s="19" t="s">
        <v>23</v>
      </c>
      <c r="C34" s="19" t="s">
        <v>25</v>
      </c>
      <c r="D34" s="19" t="s">
        <v>20</v>
      </c>
      <c r="E34" s="19" t="s">
        <v>46</v>
      </c>
      <c r="F34" s="19" t="s">
        <v>47</v>
      </c>
      <c r="G34" s="19" t="s">
        <v>48</v>
      </c>
    </row>
    <row r="35" spans="1:7" x14ac:dyDescent="0.2">
      <c r="A35" s="35">
        <v>0.95</v>
      </c>
      <c r="B35" s="15">
        <f>$B$6*A35</f>
        <v>1.1038049999999999</v>
      </c>
      <c r="C35" s="15">
        <f>($B$5*B35)*(1-$B$16)</f>
        <v>4964638.9387500007</v>
      </c>
      <c r="D35" s="15">
        <f>$B$20</f>
        <v>4893750</v>
      </c>
      <c r="E35" s="15">
        <f>$B$24</f>
        <v>5246263.6046849294</v>
      </c>
      <c r="F35" s="15">
        <f>($B$5*A35+$B$5*MAX($B$11-A35,0)-$B$5*$B$13)</f>
        <v>4826250</v>
      </c>
      <c r="G35" s="15">
        <f>$B$5*MIN(A35-$B$5)*MAX(A35-$B$12,0)+$B$5*$B$30</f>
        <v>81000</v>
      </c>
    </row>
    <row r="36" spans="1:7" x14ac:dyDescent="0.2">
      <c r="A36" s="36">
        <v>0.96</v>
      </c>
      <c r="B36" s="15">
        <f>$B$6*A36</f>
        <v>1.115424</v>
      </c>
      <c r="C36" s="15">
        <f>($B$5*B36)*(1-$B$16)</f>
        <v>5016898.2960000001</v>
      </c>
      <c r="D36" s="15">
        <f t="shared" ref="D36:D45" si="0">$B$20</f>
        <v>4893750</v>
      </c>
      <c r="E36" s="15">
        <f t="shared" ref="E36:E45" si="1">$B$24</f>
        <v>5246263.6046849294</v>
      </c>
      <c r="F36" s="15">
        <f t="shared" ref="F36:F45" si="2">($B$5*A36+$B$5*MAX($B$11-A36,0)-$B$5*$B$13)</f>
        <v>4826250</v>
      </c>
      <c r="G36" s="15">
        <f t="shared" ref="G36:G45" si="3">$B$5*MIN(A36-$B$5)*MAX(A36-$B$12,0)+$B$5*$B$30</f>
        <v>81000</v>
      </c>
    </row>
    <row r="37" spans="1:7" x14ac:dyDescent="0.2">
      <c r="A37" s="36">
        <v>0.97</v>
      </c>
      <c r="B37" s="15">
        <f>$B$6*A37</f>
        <v>1.1270429999999998</v>
      </c>
      <c r="C37" s="15">
        <f>($B$5*B37)*(1-$B$16)</f>
        <v>5069157.6532499995</v>
      </c>
      <c r="D37" s="15">
        <f t="shared" si="0"/>
        <v>4893750</v>
      </c>
      <c r="E37" s="15">
        <f t="shared" si="1"/>
        <v>5246263.6046849294</v>
      </c>
      <c r="F37" s="15">
        <f t="shared" si="2"/>
        <v>4826250</v>
      </c>
      <c r="G37" s="15">
        <f t="shared" si="3"/>
        <v>81000</v>
      </c>
    </row>
    <row r="38" spans="1:7" x14ac:dyDescent="0.2">
      <c r="A38" s="36">
        <v>0.98</v>
      </c>
      <c r="B38" s="15">
        <f>$B$6*A38</f>
        <v>1.1386619999999998</v>
      </c>
      <c r="C38" s="15">
        <f t="shared" ref="C38:C45" si="4">($B$5*B38)*(1-$B$16)</f>
        <v>5121417.0104999989</v>
      </c>
      <c r="D38" s="15">
        <f t="shared" si="0"/>
        <v>4893750</v>
      </c>
      <c r="E38" s="15">
        <f t="shared" si="1"/>
        <v>5246263.6046849294</v>
      </c>
      <c r="F38" s="15">
        <f t="shared" si="2"/>
        <v>4826250</v>
      </c>
      <c r="G38" s="15">
        <f t="shared" si="3"/>
        <v>81000</v>
      </c>
    </row>
    <row r="39" spans="1:7" x14ac:dyDescent="0.2">
      <c r="A39" s="36">
        <v>0.99</v>
      </c>
      <c r="B39" s="15">
        <f t="shared" ref="B39:B45" si="5">$B$6*A39</f>
        <v>1.1502809999999999</v>
      </c>
      <c r="C39" s="15">
        <f t="shared" si="4"/>
        <v>5173676.3677499993</v>
      </c>
      <c r="D39" s="15">
        <f t="shared" si="0"/>
        <v>4893750</v>
      </c>
      <c r="E39" s="15">
        <f t="shared" si="1"/>
        <v>5246263.6046849294</v>
      </c>
      <c r="F39" s="15">
        <f t="shared" si="2"/>
        <v>4826250</v>
      </c>
      <c r="G39" s="15">
        <f t="shared" si="3"/>
        <v>81000</v>
      </c>
    </row>
    <row r="40" spans="1:7" x14ac:dyDescent="0.2">
      <c r="A40" s="37">
        <v>1</v>
      </c>
      <c r="B40" s="15">
        <f t="shared" si="5"/>
        <v>1.1618999999999999</v>
      </c>
      <c r="C40" s="15">
        <f>($B$5*B40)*(1-$B$16)</f>
        <v>5225935.7250000006</v>
      </c>
      <c r="D40" s="15">
        <f t="shared" si="0"/>
        <v>4893750</v>
      </c>
      <c r="E40" s="15">
        <f t="shared" si="1"/>
        <v>5246263.6046849294</v>
      </c>
      <c r="F40" s="15">
        <f t="shared" si="2"/>
        <v>4826250</v>
      </c>
      <c r="G40" s="15">
        <f t="shared" si="3"/>
        <v>81000</v>
      </c>
    </row>
    <row r="41" spans="1:7" x14ac:dyDescent="0.2">
      <c r="A41" s="36">
        <v>1.01</v>
      </c>
      <c r="B41" s="15">
        <f t="shared" si="5"/>
        <v>1.173519</v>
      </c>
      <c r="C41" s="15">
        <f t="shared" si="4"/>
        <v>5278195.08225</v>
      </c>
      <c r="D41" s="15">
        <f t="shared" si="0"/>
        <v>4893750</v>
      </c>
      <c r="E41" s="15">
        <f t="shared" si="1"/>
        <v>5246263.6046849294</v>
      </c>
      <c r="F41" s="15">
        <f t="shared" si="2"/>
        <v>4826250</v>
      </c>
      <c r="G41" s="15">
        <f t="shared" si="3"/>
        <v>81000</v>
      </c>
    </row>
    <row r="42" spans="1:7" x14ac:dyDescent="0.2">
      <c r="A42" s="36">
        <v>1.02</v>
      </c>
      <c r="B42" s="15">
        <f t="shared" si="5"/>
        <v>1.185138</v>
      </c>
      <c r="C42" s="15">
        <f t="shared" si="4"/>
        <v>5330454.4395000003</v>
      </c>
      <c r="D42" s="15">
        <f t="shared" si="0"/>
        <v>4893750</v>
      </c>
      <c r="E42" s="15">
        <f t="shared" si="1"/>
        <v>5246263.6046849294</v>
      </c>
      <c r="F42" s="15">
        <f t="shared" si="2"/>
        <v>4826250</v>
      </c>
      <c r="G42" s="15">
        <f t="shared" si="3"/>
        <v>81000</v>
      </c>
    </row>
    <row r="43" spans="1:7" x14ac:dyDescent="0.2">
      <c r="A43" s="36">
        <v>1.03</v>
      </c>
      <c r="B43" s="15">
        <f t="shared" si="5"/>
        <v>1.1967570000000001</v>
      </c>
      <c r="C43" s="15">
        <f t="shared" si="4"/>
        <v>5382713.7967500007</v>
      </c>
      <c r="D43" s="15">
        <f t="shared" si="0"/>
        <v>4893750</v>
      </c>
      <c r="E43" s="15">
        <f t="shared" si="1"/>
        <v>5246263.6046849294</v>
      </c>
      <c r="F43" s="15">
        <f t="shared" si="2"/>
        <v>4826249.9999999991</v>
      </c>
      <c r="G43" s="15">
        <f t="shared" si="3"/>
        <v>81000</v>
      </c>
    </row>
    <row r="44" spans="1:7" x14ac:dyDescent="0.2">
      <c r="A44" s="36">
        <v>1.04</v>
      </c>
      <c r="B44" s="15">
        <f t="shared" si="5"/>
        <v>1.2083759999999999</v>
      </c>
      <c r="C44" s="15">
        <f t="shared" si="4"/>
        <v>5434973.1539999992</v>
      </c>
      <c r="D44" s="15">
        <f t="shared" si="0"/>
        <v>4893750</v>
      </c>
      <c r="E44" s="15">
        <f t="shared" si="1"/>
        <v>5246263.6046849294</v>
      </c>
      <c r="F44" s="15">
        <f t="shared" si="2"/>
        <v>4826249.9999999991</v>
      </c>
      <c r="G44" s="15">
        <f t="shared" si="3"/>
        <v>81000</v>
      </c>
    </row>
    <row r="45" spans="1:7" x14ac:dyDescent="0.2">
      <c r="A45" s="36">
        <v>1.05</v>
      </c>
      <c r="B45" s="15">
        <f t="shared" si="5"/>
        <v>1.2199949999999999</v>
      </c>
      <c r="C45" s="15">
        <f t="shared" si="4"/>
        <v>5487232.5112500004</v>
      </c>
      <c r="D45" s="15">
        <f t="shared" si="0"/>
        <v>4893750</v>
      </c>
      <c r="E45" s="15">
        <f t="shared" si="1"/>
        <v>5246263.6046849294</v>
      </c>
      <c r="F45" s="15">
        <f t="shared" si="2"/>
        <v>4826249.9999999991</v>
      </c>
      <c r="G45" s="15">
        <f t="shared" si="3"/>
        <v>81000</v>
      </c>
    </row>
    <row r="49" spans="1:1" ht="20" x14ac:dyDescent="0.25">
      <c r="A49" s="2"/>
    </row>
  </sheetData>
  <mergeCells count="7">
    <mergeCell ref="E3:H3"/>
    <mergeCell ref="A21:B21"/>
    <mergeCell ref="A26:B26"/>
    <mergeCell ref="A29:B29"/>
    <mergeCell ref="A18:C18"/>
    <mergeCell ref="A33:G33"/>
    <mergeCell ref="E18:F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C5F4-1DF6-F146-87D3-EC43974BEBCD}">
  <sheetPr>
    <tabColor theme="4"/>
  </sheetPr>
  <dimension ref="A1:C12"/>
  <sheetViews>
    <sheetView tabSelected="1" workbookViewId="0">
      <selection activeCell="B29" sqref="B29"/>
    </sheetView>
  </sheetViews>
  <sheetFormatPr baseColWidth="10" defaultRowHeight="16" x14ac:dyDescent="0.2"/>
  <sheetData>
    <row r="1" spans="1:3" x14ac:dyDescent="0.2">
      <c r="A1" s="1" t="s">
        <v>26</v>
      </c>
      <c r="C1" t="s">
        <v>57</v>
      </c>
    </row>
    <row r="2" spans="1:3" x14ac:dyDescent="0.2">
      <c r="A2" s="1" t="s">
        <v>27</v>
      </c>
      <c r="C2" s="43">
        <v>45983</v>
      </c>
    </row>
    <row r="4" spans="1:3" ht="19" x14ac:dyDescent="0.25">
      <c r="A4" s="6" t="s">
        <v>28</v>
      </c>
    </row>
    <row r="5" spans="1:3" x14ac:dyDescent="0.2">
      <c r="A5" t="s">
        <v>29</v>
      </c>
    </row>
    <row r="6" spans="1:3" x14ac:dyDescent="0.2">
      <c r="A6" t="s">
        <v>30</v>
      </c>
    </row>
    <row r="7" spans="1:3" x14ac:dyDescent="0.2">
      <c r="A7" t="s">
        <v>31</v>
      </c>
    </row>
    <row r="8" spans="1:3" x14ac:dyDescent="0.2">
      <c r="A8" t="s">
        <v>32</v>
      </c>
    </row>
    <row r="9" spans="1:3" x14ac:dyDescent="0.2">
      <c r="A9" t="s">
        <v>33</v>
      </c>
    </row>
    <row r="10" spans="1:3" x14ac:dyDescent="0.2">
      <c r="A10" t="s">
        <v>36</v>
      </c>
    </row>
    <row r="11" spans="1:3" x14ac:dyDescent="0.2">
      <c r="A11" t="s">
        <v>35</v>
      </c>
    </row>
    <row r="12" spans="1:3" x14ac:dyDescent="0.2">
      <c r="A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Model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Murphy</dc:creator>
  <cp:lastModifiedBy>Francesca Murphy</cp:lastModifiedBy>
  <dcterms:created xsi:type="dcterms:W3CDTF">2025-11-13T02:50:24Z</dcterms:created>
  <dcterms:modified xsi:type="dcterms:W3CDTF">2025-11-24T22:47:47Z</dcterms:modified>
</cp:coreProperties>
</file>