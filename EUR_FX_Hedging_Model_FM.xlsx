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francescamurphy/Downloads/"/>
    </mc:Choice>
  </mc:AlternateContent>
  <xr:revisionPtr revIDLastSave="0" documentId="8_{2FBBA981-3373-1441-B6F1-E83A6D449957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FX_Hedging_Model" sheetId="1" r:id="rId1"/>
  </sheets>
  <definedNames>
    <definedName name="CT">FX_Hedging_Model!$B$9</definedName>
    <definedName name="F0_in">FX_Hedging_Model!$B$6</definedName>
    <definedName name="FC_AMT">FX_Hedging_Model!$B$4</definedName>
    <definedName name="K_call">FX_Hedging_Model!$B$11</definedName>
    <definedName name="K_put">FX_Hedging_Model!$B$10</definedName>
    <definedName name="Premium_call">FX_Hedging_Model!$B$13</definedName>
    <definedName name="Premium_put">FX_Hedging_Model!$B$12</definedName>
    <definedName name="r_FC">FX_Hedging_Model!$B$8</definedName>
    <definedName name="r_USD">FX_Hedging_Model!$B$7</definedName>
    <definedName name="S0_in">FX_Hedging_Model!$B$5</definedName>
    <definedName name="T_DAYS">FX_Hedging_Model!$B$14</definedName>
    <definedName name="T_YRS">FX_Hedging_Model!$B$17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5" i="1" s="1"/>
  <c r="B28" i="1"/>
  <c r="B34" i="1" s="1"/>
  <c r="B20" i="1"/>
  <c r="F15" i="1" s="1"/>
  <c r="B17" i="1"/>
  <c r="B46" i="1" s="1"/>
  <c r="B47" i="1" s="1"/>
  <c r="D15" i="1"/>
  <c r="E15" i="1" s="1"/>
  <c r="I14" i="1"/>
  <c r="H14" i="1"/>
  <c r="D14" i="1"/>
  <c r="E14" i="1" s="1"/>
  <c r="D13" i="1"/>
  <c r="I13" i="1" s="1"/>
  <c r="D12" i="1"/>
  <c r="E12" i="1" s="1"/>
  <c r="D11" i="1"/>
  <c r="E11" i="1" s="1"/>
  <c r="I10" i="1"/>
  <c r="H10" i="1"/>
  <c r="D10" i="1"/>
  <c r="E10" i="1" s="1"/>
  <c r="H9" i="1"/>
  <c r="F9" i="1"/>
  <c r="D9" i="1"/>
  <c r="I9" i="1" s="1"/>
  <c r="D8" i="1"/>
  <c r="E8" i="1" s="1"/>
  <c r="D7" i="1"/>
  <c r="E7" i="1" s="1"/>
  <c r="I6" i="1"/>
  <c r="H6" i="1"/>
  <c r="D6" i="1"/>
  <c r="E6" i="1" s="1"/>
  <c r="H5" i="1"/>
  <c r="F5" i="1"/>
  <c r="D5" i="1"/>
  <c r="I5" i="1" s="1"/>
  <c r="F7" i="1" l="1"/>
  <c r="H8" i="1"/>
  <c r="F11" i="1"/>
  <c r="H12" i="1"/>
  <c r="I8" i="1"/>
  <c r="I12" i="1"/>
  <c r="F6" i="1"/>
  <c r="H7" i="1"/>
  <c r="F10" i="1"/>
  <c r="H11" i="1"/>
  <c r="F14" i="1"/>
  <c r="H15" i="1"/>
  <c r="E5" i="1"/>
  <c r="I7" i="1"/>
  <c r="E9" i="1"/>
  <c r="I11" i="1"/>
  <c r="E13" i="1"/>
  <c r="I15" i="1"/>
  <c r="B32" i="1"/>
  <c r="B23" i="1"/>
  <c r="B24" i="1" s="1"/>
  <c r="B25" i="1" s="1"/>
  <c r="F12" i="1"/>
  <c r="H13" i="1"/>
  <c r="F13" i="1"/>
  <c r="F8" i="1"/>
  <c r="G13" i="1" l="1"/>
  <c r="G9" i="1"/>
  <c r="G5" i="1"/>
  <c r="G12" i="1"/>
  <c r="G8" i="1"/>
  <c r="B33" i="1"/>
  <c r="G14" i="1"/>
  <c r="G10" i="1"/>
  <c r="G6" i="1"/>
  <c r="G15" i="1"/>
  <c r="G11" i="1"/>
  <c r="G7" i="1"/>
</calcChain>
</file>

<file path=xl/sharedStrings.xml><?xml version="1.0" encoding="utf-8"?>
<sst xmlns="http://schemas.openxmlformats.org/spreadsheetml/2006/main" count="35" uniqueCount="35">
  <si>
    <t>EUR Receivable FX Hedging Model (1-Year)</t>
  </si>
  <si>
    <t>Inputs</t>
  </si>
  <si>
    <t>Sensitivity Analysis</t>
  </si>
  <si>
    <t>FC_AMT</t>
  </si>
  <si>
    <t>St</t>
  </si>
  <si>
    <t>Unhedged</t>
  </si>
  <si>
    <t>Forward</t>
  </si>
  <si>
    <t>Money Market</t>
  </si>
  <si>
    <t>Put</t>
  </si>
  <si>
    <t>Call</t>
  </si>
  <si>
    <t>S0_in</t>
  </si>
  <si>
    <t>F0_in</t>
  </si>
  <si>
    <t>r_USD</t>
  </si>
  <si>
    <t>r_FC</t>
  </si>
  <si>
    <t>CT</t>
  </si>
  <si>
    <t>K_put</t>
  </si>
  <si>
    <t>K_call</t>
  </si>
  <si>
    <t>Premium_put</t>
  </si>
  <si>
    <t>Premium_call</t>
  </si>
  <si>
    <t>T_DAYS</t>
  </si>
  <si>
    <t>Assumptions</t>
  </si>
  <si>
    <t>T_YRS</t>
  </si>
  <si>
    <t>Forward Hedge</t>
  </si>
  <si>
    <t>USD_FWD</t>
  </si>
  <si>
    <t>Money Market Hedge</t>
  </si>
  <si>
    <t>PV_EUR</t>
  </si>
  <si>
    <t>USD_0</t>
  </si>
  <si>
    <t>USD_MM</t>
  </si>
  <si>
    <t>Option Proceeds (St = F0)</t>
  </si>
  <si>
    <t>USD_PUT</t>
  </si>
  <si>
    <t>USD_CALL</t>
  </si>
  <si>
    <t>Final USD Proceeds</t>
  </si>
  <si>
    <t>Interest Rate Parity Check</t>
  </si>
  <si>
    <t>F_implied</t>
  </si>
  <si>
    <t>Difference vs Market 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</si>
</sst>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7" workbookViewId="0"/>
  </sheetViews>
  <sheetFormatPr baseColWidth="10" defaultColWidth="8.83203125" defaultRowHeight="15" x14ac:dyDescent="0.2"/>
  <sheetData>
    <row r="1" spans="1:9" x14ac:dyDescent="0.2">
      <c r="A1" s="1" t="s">
        <v>0</v>
      </c>
    </row>
    <row r="3" spans="1:9" x14ac:dyDescent="0.2">
      <c r="A3" s="1" t="s">
        <v>1</v>
      </c>
      <c r="D3" s="1" t="s">
        <v>2</v>
      </c>
    </row>
    <row r="4" spans="1:9" x14ac:dyDescent="0.2">
      <c r="A4" t="s">
        <v>3</v>
      </c>
      <c r="B4" s="2">
        <v>4500000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">
      <c r="A5" t="s">
        <v>10</v>
      </c>
      <c r="B5" s="2">
        <v>1.1618999999999999</v>
      </c>
      <c r="D5">
        <f>S0_in*(1+-5*0.01)</f>
        <v>1.1038049999999999</v>
      </c>
      <c r="E5">
        <f t="shared" ref="E5:E15" si="0">FC_AMT*D5</f>
        <v>4967122.5</v>
      </c>
      <c r="F5">
        <f t="shared" ref="F5:F15" si="1">$B$20</f>
        <v>4891303.125</v>
      </c>
      <c r="G5">
        <f t="shared" ref="G5:G15" si="2">$B$25</f>
        <v>5243640.4728825875</v>
      </c>
      <c r="H5">
        <f t="shared" ref="H5:H15" si="3">(FC_AMT*IF(D5&gt;K_put,D5,K_put)-FC_AMT*Premium_put)*(1-CT)</f>
        <v>4897172.6887500007</v>
      </c>
      <c r="I5">
        <f t="shared" ref="I5:I15" si="4">(FC_AMT*D5-FC_AMT*Premium_call)*(1-CT)</f>
        <v>4883679.4387500007</v>
      </c>
    </row>
    <row r="6" spans="1:9" x14ac:dyDescent="0.2">
      <c r="A6" t="s">
        <v>11</v>
      </c>
      <c r="B6" s="2">
        <v>1.0874999999999999</v>
      </c>
      <c r="D6">
        <f>S0_in*(1+-4*0.01)</f>
        <v>1.115424</v>
      </c>
      <c r="E6">
        <f t="shared" si="0"/>
        <v>5019408</v>
      </c>
      <c r="F6">
        <f t="shared" si="1"/>
        <v>4891303.125</v>
      </c>
      <c r="G6">
        <f t="shared" si="2"/>
        <v>5243640.4728825875</v>
      </c>
      <c r="H6">
        <f t="shared" si="3"/>
        <v>4949432.0460000001</v>
      </c>
      <c r="I6">
        <f t="shared" si="4"/>
        <v>4935938.7960000001</v>
      </c>
    </row>
    <row r="7" spans="1:9" x14ac:dyDescent="0.2">
      <c r="A7" t="s">
        <v>12</v>
      </c>
      <c r="B7" s="2">
        <v>3.6600000000000001E-2</v>
      </c>
      <c r="D7">
        <f>S0_in*(1+-3*0.01)</f>
        <v>1.1270429999999998</v>
      </c>
      <c r="E7">
        <f t="shared" si="0"/>
        <v>5071693.4999999991</v>
      </c>
      <c r="F7">
        <f t="shared" si="1"/>
        <v>4891303.125</v>
      </c>
      <c r="G7">
        <f t="shared" si="2"/>
        <v>5243640.4728825875</v>
      </c>
      <c r="H7">
        <f t="shared" si="3"/>
        <v>5001691.4032499995</v>
      </c>
      <c r="I7">
        <f t="shared" si="4"/>
        <v>4988198.1532499995</v>
      </c>
    </row>
    <row r="8" spans="1:9" x14ac:dyDescent="0.2">
      <c r="A8" t="s">
        <v>13</v>
      </c>
      <c r="B8" s="2">
        <v>3.3099999999999997E-2</v>
      </c>
      <c r="D8">
        <f>S0_in*(1+-2*0.01)</f>
        <v>1.1386619999999998</v>
      </c>
      <c r="E8">
        <f t="shared" si="0"/>
        <v>5123978.9999999991</v>
      </c>
      <c r="F8">
        <f t="shared" si="1"/>
        <v>4891303.125</v>
      </c>
      <c r="G8">
        <f t="shared" si="2"/>
        <v>5243640.4728825875</v>
      </c>
      <c r="H8">
        <f t="shared" si="3"/>
        <v>5053950.7604999989</v>
      </c>
      <c r="I8">
        <f t="shared" si="4"/>
        <v>5040457.5104999989</v>
      </c>
    </row>
    <row r="9" spans="1:9" x14ac:dyDescent="0.2">
      <c r="A9" t="s">
        <v>14</v>
      </c>
      <c r="B9" s="2">
        <v>5.0000000000000001E-4</v>
      </c>
      <c r="D9">
        <f>S0_in*(1+-1*0.01)</f>
        <v>1.1502809999999999</v>
      </c>
      <c r="E9">
        <f t="shared" si="0"/>
        <v>5176264.4999999991</v>
      </c>
      <c r="F9">
        <f t="shared" si="1"/>
        <v>4891303.125</v>
      </c>
      <c r="G9">
        <f t="shared" si="2"/>
        <v>5243640.4728825875</v>
      </c>
      <c r="H9">
        <f t="shared" si="3"/>
        <v>5106210.1177499993</v>
      </c>
      <c r="I9">
        <f t="shared" si="4"/>
        <v>5092716.8677499993</v>
      </c>
    </row>
    <row r="10" spans="1:9" x14ac:dyDescent="0.2">
      <c r="A10" t="s">
        <v>15</v>
      </c>
      <c r="B10" s="2">
        <v>1.0874999999999999</v>
      </c>
      <c r="D10">
        <f>S0_in*(1+0*0.01)</f>
        <v>1.1618999999999999</v>
      </c>
      <c r="E10">
        <f t="shared" si="0"/>
        <v>5228550</v>
      </c>
      <c r="F10">
        <f t="shared" si="1"/>
        <v>4891303.125</v>
      </c>
      <c r="G10">
        <f t="shared" si="2"/>
        <v>5243640.4728825875</v>
      </c>
      <c r="H10">
        <f t="shared" si="3"/>
        <v>5158469.4750000006</v>
      </c>
      <c r="I10">
        <f t="shared" si="4"/>
        <v>5144976.2250000006</v>
      </c>
    </row>
    <row r="11" spans="1:9" x14ac:dyDescent="0.2">
      <c r="A11" t="s">
        <v>16</v>
      </c>
      <c r="B11" s="2">
        <v>1.0874999999999999</v>
      </c>
      <c r="D11">
        <f>S0_in*(1+1*0.01)</f>
        <v>1.173519</v>
      </c>
      <c r="E11">
        <f t="shared" si="0"/>
        <v>5280835.5</v>
      </c>
      <c r="F11">
        <f t="shared" si="1"/>
        <v>4891303.125</v>
      </c>
      <c r="G11">
        <f t="shared" si="2"/>
        <v>5243640.4728825875</v>
      </c>
      <c r="H11">
        <f t="shared" si="3"/>
        <v>5210728.83225</v>
      </c>
      <c r="I11">
        <f t="shared" si="4"/>
        <v>5197235.58225</v>
      </c>
    </row>
    <row r="12" spans="1:9" x14ac:dyDescent="0.2">
      <c r="A12" t="s">
        <v>17</v>
      </c>
      <c r="B12" s="2">
        <v>1.4999999999999999E-2</v>
      </c>
      <c r="D12">
        <f>S0_in*(1+2*0.01)</f>
        <v>1.185138</v>
      </c>
      <c r="E12">
        <f t="shared" si="0"/>
        <v>5333121</v>
      </c>
      <c r="F12">
        <f t="shared" si="1"/>
        <v>4891303.125</v>
      </c>
      <c r="G12">
        <f t="shared" si="2"/>
        <v>5243640.4728825875</v>
      </c>
      <c r="H12">
        <f t="shared" si="3"/>
        <v>5262988.1895000003</v>
      </c>
      <c r="I12">
        <f t="shared" si="4"/>
        <v>5249494.9395000003</v>
      </c>
    </row>
    <row r="13" spans="1:9" x14ac:dyDescent="0.2">
      <c r="A13" t="s">
        <v>18</v>
      </c>
      <c r="B13" s="2">
        <v>1.7999999999999999E-2</v>
      </c>
      <c r="D13">
        <f>S0_in*(1+3*0.01)</f>
        <v>1.1967570000000001</v>
      </c>
      <c r="E13">
        <f t="shared" si="0"/>
        <v>5385406.5</v>
      </c>
      <c r="F13">
        <f t="shared" si="1"/>
        <v>4891303.125</v>
      </c>
      <c r="G13">
        <f t="shared" si="2"/>
        <v>5243640.4728825875</v>
      </c>
      <c r="H13">
        <f t="shared" si="3"/>
        <v>5315247.5467500007</v>
      </c>
      <c r="I13">
        <f t="shared" si="4"/>
        <v>5301754.2967500007</v>
      </c>
    </row>
    <row r="14" spans="1:9" x14ac:dyDescent="0.2">
      <c r="A14" t="s">
        <v>19</v>
      </c>
      <c r="B14" s="2">
        <v>360</v>
      </c>
      <c r="D14">
        <f>S0_in*(1+4*0.01)</f>
        <v>1.2083759999999999</v>
      </c>
      <c r="E14">
        <f t="shared" si="0"/>
        <v>5437691.9999999991</v>
      </c>
      <c r="F14">
        <f t="shared" si="1"/>
        <v>4891303.125</v>
      </c>
      <c r="G14">
        <f t="shared" si="2"/>
        <v>5243640.4728825875</v>
      </c>
      <c r="H14">
        <f t="shared" si="3"/>
        <v>5367506.9039999992</v>
      </c>
      <c r="I14">
        <f t="shared" si="4"/>
        <v>5354013.6539999992</v>
      </c>
    </row>
    <row r="15" spans="1:9" x14ac:dyDescent="0.2">
      <c r="D15">
        <f>S0_in*(1+5*0.01)</f>
        <v>1.2199949999999999</v>
      </c>
      <c r="E15">
        <f t="shared" si="0"/>
        <v>5489977.5</v>
      </c>
      <c r="F15">
        <f t="shared" si="1"/>
        <v>4891303.125</v>
      </c>
      <c r="G15">
        <f t="shared" si="2"/>
        <v>5243640.4728825875</v>
      </c>
      <c r="H15">
        <f t="shared" si="3"/>
        <v>5419766.2612500004</v>
      </c>
      <c r="I15">
        <f t="shared" si="4"/>
        <v>5406273.0112500004</v>
      </c>
    </row>
    <row r="16" spans="1:9" x14ac:dyDescent="0.2">
      <c r="A16" s="1" t="s">
        <v>20</v>
      </c>
    </row>
    <row r="17" spans="1:2" x14ac:dyDescent="0.2">
      <c r="A17" t="s">
        <v>21</v>
      </c>
      <c r="B17" s="3">
        <f>T_DAYS/360</f>
        <v>1</v>
      </c>
    </row>
    <row r="19" spans="1:2" x14ac:dyDescent="0.2">
      <c r="A19" s="1" t="s">
        <v>22</v>
      </c>
    </row>
    <row r="20" spans="1:2" x14ac:dyDescent="0.2">
      <c r="A20" t="s">
        <v>23</v>
      </c>
      <c r="B20" s="4">
        <f>FC_AMT*F0_in*(1-CT)</f>
        <v>4891303.125</v>
      </c>
    </row>
    <row r="22" spans="1:2" x14ac:dyDescent="0.2">
      <c r="A22" s="1" t="s">
        <v>24</v>
      </c>
    </row>
    <row r="23" spans="1:2" x14ac:dyDescent="0.2">
      <c r="A23" t="s">
        <v>25</v>
      </c>
      <c r="B23" s="4">
        <f>FC_AMT/(1+r_FC*T_YRS)</f>
        <v>4355822.2824508762</v>
      </c>
    </row>
    <row r="24" spans="1:2" x14ac:dyDescent="0.2">
      <c r="A24" t="s">
        <v>26</v>
      </c>
      <c r="B24" s="4">
        <f>B23*S0_in</f>
        <v>5061029.9099796731</v>
      </c>
    </row>
    <row r="25" spans="1:2" x14ac:dyDescent="0.2">
      <c r="A25" t="s">
        <v>27</v>
      </c>
      <c r="B25" s="4">
        <f>B24*(1+r_USD*T_YRS)*(1-CT)</f>
        <v>5243640.4728825875</v>
      </c>
    </row>
    <row r="27" spans="1:2" x14ac:dyDescent="0.2">
      <c r="A27" s="1" t="s">
        <v>28</v>
      </c>
    </row>
    <row r="28" spans="1:2" x14ac:dyDescent="0.2">
      <c r="A28" t="s">
        <v>29</v>
      </c>
      <c r="B28" s="4">
        <f>(FC_AMT*IF(F0_in&gt;K_put,F0_in,K_put)-FC_AMT*Premium_put)*(1-CT)</f>
        <v>4823836.875</v>
      </c>
    </row>
    <row r="29" spans="1:2" x14ac:dyDescent="0.2">
      <c r="A29" t="s">
        <v>30</v>
      </c>
      <c r="B29" s="4">
        <f>(FC_AMT*F0_in-FC_AMT*Premium_call)*(1-CT)</f>
        <v>4810343.625</v>
      </c>
    </row>
    <row r="31" spans="1:2" x14ac:dyDescent="0.2">
      <c r="A31" s="1" t="s">
        <v>31</v>
      </c>
    </row>
    <row r="32" spans="1:2" x14ac:dyDescent="0.2">
      <c r="B32" s="5">
        <f>B20</f>
        <v>4891303.125</v>
      </c>
    </row>
    <row r="33" spans="1:2" x14ac:dyDescent="0.2">
      <c r="B33" s="5">
        <f>B25</f>
        <v>5243640.4728825875</v>
      </c>
    </row>
    <row r="34" spans="1:2" x14ac:dyDescent="0.2">
      <c r="B34" s="5">
        <f>B28</f>
        <v>4823836.875</v>
      </c>
    </row>
    <row r="35" spans="1:2" x14ac:dyDescent="0.2">
      <c r="B35" s="5">
        <f>B29</f>
        <v>4810343.625</v>
      </c>
    </row>
    <row r="45" spans="1:2" x14ac:dyDescent="0.2">
      <c r="A45" s="1" t="s">
        <v>32</v>
      </c>
    </row>
    <row r="46" spans="1:2" x14ac:dyDescent="0.2">
      <c r="A46" t="s">
        <v>33</v>
      </c>
      <c r="B46" s="4">
        <f>S0_in*(1+r_USD*T_YRS)/(1+r_FC*T_YRS)</f>
        <v>1.165836356596651</v>
      </c>
    </row>
    <row r="47" spans="1:2" x14ac:dyDescent="0.2">
      <c r="A47" t="s">
        <v>34</v>
      </c>
      <c r="B47" s="5">
        <f>B46-F0_in</f>
        <v>7.8336356596651058E-2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FX_Hedging_Model</vt:lpstr>
      <vt:lpstr>CT</vt:lpstr>
      <vt:lpstr>F0_in</vt:lpstr>
      <vt:lpstr>FC_AMT</vt:lpstr>
      <vt:lpstr>K_call</vt:lpstr>
      <vt:lpstr>K_put</vt:lpstr>
      <vt:lpstr>Premium_call</vt:lpstr>
      <vt:lpstr>Premium_put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Murphy</cp:lastModifiedBy>
  <dcterms:created xsi:type="dcterms:W3CDTF">2025-12-12T22:43:05Z</dcterms:created>
  <dcterms:modified xsi:type="dcterms:W3CDTF">2025-12-12T22:47:59Z</dcterms:modified>
</cp:coreProperties>
</file>