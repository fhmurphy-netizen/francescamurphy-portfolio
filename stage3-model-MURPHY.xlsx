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francescamurphy/Downloads/"/>
    </mc:Choice>
  </mc:AlternateContent>
  <xr:revisionPtr revIDLastSave="0" documentId="8_{9EDEFA2B-4BB5-3C42-880B-220CE57835E3}" xr6:coauthVersionLast="47" xr6:coauthVersionMax="47" xr10:uidLastSave="{00000000-0000-0000-0000-000000000000}"/>
  <bookViews>
    <workbookView xWindow="12700" yWindow="660" windowWidth="16100" windowHeight="9700" activeTab="1" xr2:uid="{00000000-000D-0000-FFFF-FFFF00000000}"/>
  </bookViews>
  <sheets>
    <sheet name="Main Model" sheetId="1" r:id="rId1"/>
    <sheet name="Not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<sst xmlns="http://schemas.openxmlformats.org/spreadsheetml/2006/main" count="55" uniqueCount="49">
  <si>
    <t>Stage 3 – FX Hedge Model (Francesca Murphy)</t>
  </si>
  <si>
    <t>Inputs (editable)</t>
  </si>
  <si>
    <t>FC_AMT</t>
  </si>
  <si>
    <t>EUR</t>
  </si>
  <si>
    <t>S0 (Spot USD/EUR)</t>
  </si>
  <si>
    <t>USD/EUR</t>
  </si>
  <si>
    <t>F0 (1y Forward USD/EUR)</t>
  </si>
  <si>
    <t>r_USD (1y)</t>
  </si>
  <si>
    <t>Decimal</t>
  </si>
  <si>
    <t>r_EUR (1y)</t>
  </si>
  <si>
    <t>t (years)</t>
  </si>
  <si>
    <t>Years</t>
  </si>
  <si>
    <t>K_put (strike)</t>
  </si>
  <si>
    <t>Premium_put (USD per EUR)</t>
  </si>
  <si>
    <t>Premium_call (USD per EUR)</t>
  </si>
  <si>
    <t>Transaction cost (fraction)</t>
  </si>
  <si>
    <t>Calculated Hedge Results (summary)</t>
  </si>
  <si>
    <t>Forward proceeds (gross)</t>
  </si>
  <si>
    <t>Forward proceeds (net of tx)</t>
  </si>
  <si>
    <t>Money market proceeds (USD)</t>
  </si>
  <si>
    <t>Put premium total (USD)</t>
  </si>
  <si>
    <t>Call premium total (USD) [placeholder]</t>
  </si>
  <si>
    <t>Sensitivity: EUR/USD at Maturity (S_T)</t>
  </si>
  <si>
    <t>S_T</t>
  </si>
  <si>
    <t>USD_unhedged</t>
  </si>
  <si>
    <t>USD_forward</t>
  </si>
  <si>
    <t>USD_money_market</t>
  </si>
  <si>
    <t>USD_put</t>
  </si>
  <si>
    <t>Summary statistics</t>
  </si>
  <si>
    <t>Measure</t>
  </si>
  <si>
    <t>Unhedged (USD)</t>
  </si>
  <si>
    <t>Forward (USD)</t>
  </si>
  <si>
    <t>Money Market (USD)</t>
  </si>
  <si>
    <t>Put Option (USD)</t>
  </si>
  <si>
    <t>Min</t>
  </si>
  <si>
    <t>Max</t>
  </si>
  <si>
    <t>Mean</t>
  </si>
  <si>
    <t>StdDev</t>
  </si>
  <si>
    <t>Notes &amp; Assumptions</t>
  </si>
  <si>
    <t>Model created by: Francesca Murphy</t>
  </si>
  <si>
    <t>Date created: 2025-11-12</t>
  </si>
  <si>
    <t>Assignment due: 2025-11-20</t>
  </si>
  <si>
    <t>Key assumptions:</t>
  </si>
  <si>
    <t>- Transaction cost applied as a fraction to trade conversion (0.05%).</t>
  </si>
  <si>
    <t>- Forward result uses given 1-year forward rate and subtracts transaction cost.</t>
  </si>
  <si>
    <t>- Money market hedge uses PV of EUR borrow, convert at spot now, invest USD at r_USD.</t>
  </si>
  <si>
    <t>- Option premium paid upfront in USD. Put exercised only at maturity if S_T &lt; strike.</t>
  </si>
  <si>
    <t>- No taxes, credit, or bid-ask spreads beyond the simple transaction cost.</t>
  </si>
  <si>
    <t>References: spec and memo provided by user. Interest rates from spec. Spot/forward taken from spec/memo.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</si>
</sst>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"/>
    <numFmt numFmtId="165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0" fillId="3" borderId="1" xfId="0" applyFill="1" applyBorder="1"/>
    <xf numFmtId="164" fontId="0" fillId="0" borderId="1" xfId="0" applyNumberFormat="1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FX Hedge Performance – USD Receipts vs. EUR/USD at Maturity (S_T)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Unhedged</c:v>
          </c:tx>
          <c:marker>
            <c:symbol val="none"/>
          </c:marker>
          <c:cat>
            <c:numRef>
              <c:f>'Main Model'!$A$24:$A$34</c:f>
              <c:numCache>
                <c:formatCode>0.0000</c:formatCode>
                <c:ptCount val="11"/>
                <c:pt idx="0">
                  <c:v>1.1038049999999999</c:v>
                </c:pt>
                <c:pt idx="1">
                  <c:v>1.115424</c:v>
                </c:pt>
                <c:pt idx="2">
                  <c:v>1.127043</c:v>
                </c:pt>
                <c:pt idx="3">
                  <c:v>1.1386620000000001</c:v>
                </c:pt>
                <c:pt idx="4">
                  <c:v>1.1502810000000001</c:v>
                </c:pt>
                <c:pt idx="5">
                  <c:v>1.1618999999999999</c:v>
                </c:pt>
                <c:pt idx="6">
                  <c:v>1.173519</c:v>
                </c:pt>
                <c:pt idx="7">
                  <c:v>1.185138</c:v>
                </c:pt>
                <c:pt idx="8">
                  <c:v>1.1967570000000001</c:v>
                </c:pt>
                <c:pt idx="9">
                  <c:v>1.2083759999999999</c:v>
                </c:pt>
                <c:pt idx="10">
                  <c:v>1.2199949999999999</c:v>
                </c:pt>
              </c:numCache>
            </c:numRef>
          </c:cat>
          <c:val>
            <c:numRef>
              <c:f>'Main Model'!$B$24:$B$34</c:f>
              <c:numCache>
                <c:formatCode>\$#,##0</c:formatCode>
                <c:ptCount val="11"/>
                <c:pt idx="0">
                  <c:v>4964638.9387500007</c:v>
                </c:pt>
                <c:pt idx="1">
                  <c:v>5016898.2960000001</c:v>
                </c:pt>
                <c:pt idx="2">
                  <c:v>5069157.6532500004</c:v>
                </c:pt>
                <c:pt idx="3">
                  <c:v>5121417.0104999999</c:v>
                </c:pt>
                <c:pt idx="4">
                  <c:v>5173676.3677500011</c:v>
                </c:pt>
                <c:pt idx="5">
                  <c:v>5225935.7250000006</c:v>
                </c:pt>
                <c:pt idx="6">
                  <c:v>5278195.08225</c:v>
                </c:pt>
                <c:pt idx="7">
                  <c:v>5330454.4395000003</c:v>
                </c:pt>
                <c:pt idx="8">
                  <c:v>5382713.7967500007</c:v>
                </c:pt>
                <c:pt idx="9">
                  <c:v>5434973.1539999992</c:v>
                </c:pt>
                <c:pt idx="10">
                  <c:v>5487232.5112500004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61-964C-BACA-77640B927BC4}"/>
            </c:ext>
          </c:extLst>
        </c:ser>
        <c:ser>
          <c:idx val="1"/>
          <c:order val="1"/>
          <c:tx>
            <c:v>Forward (locked)</c:v>
          </c:tx>
          <c:marker>
            <c:symbol val="none"/>
          </c:marker>
          <c:cat>
            <c:numRef>
              <c:f>'Main Model'!$A$24:$A$34</c:f>
              <c:numCache>
                <c:formatCode>0.0000</c:formatCode>
                <c:ptCount val="11"/>
                <c:pt idx="0">
                  <c:v>1.1038049999999999</c:v>
                </c:pt>
                <c:pt idx="1">
                  <c:v>1.115424</c:v>
                </c:pt>
                <c:pt idx="2">
                  <c:v>1.127043</c:v>
                </c:pt>
                <c:pt idx="3">
                  <c:v>1.1386620000000001</c:v>
                </c:pt>
                <c:pt idx="4">
                  <c:v>1.1502810000000001</c:v>
                </c:pt>
                <c:pt idx="5">
                  <c:v>1.1618999999999999</c:v>
                </c:pt>
                <c:pt idx="6">
                  <c:v>1.173519</c:v>
                </c:pt>
                <c:pt idx="7">
                  <c:v>1.185138</c:v>
                </c:pt>
                <c:pt idx="8">
                  <c:v>1.1967570000000001</c:v>
                </c:pt>
                <c:pt idx="9">
                  <c:v>1.2083759999999999</c:v>
                </c:pt>
                <c:pt idx="10">
                  <c:v>1.2199949999999999</c:v>
                </c:pt>
              </c:numCache>
            </c:numRef>
          </c:cat>
          <c:val>
            <c:numRef>
              <c:f>'Main Model'!$C$24:$C$34</c:f>
              <c:numCache>
                <c:formatCode>\$#,##0</c:formatCode>
                <c:ptCount val="11"/>
                <c:pt idx="0">
                  <c:v>4891303.125</c:v>
                </c:pt>
                <c:pt idx="1">
                  <c:v>4891303.125</c:v>
                </c:pt>
                <c:pt idx="2">
                  <c:v>4891303.125</c:v>
                </c:pt>
                <c:pt idx="3">
                  <c:v>4891303.125</c:v>
                </c:pt>
                <c:pt idx="4">
                  <c:v>4891303.125</c:v>
                </c:pt>
                <c:pt idx="5">
                  <c:v>4891303.125</c:v>
                </c:pt>
                <c:pt idx="6">
                  <c:v>4891303.125</c:v>
                </c:pt>
                <c:pt idx="7">
                  <c:v>4891303.125</c:v>
                </c:pt>
                <c:pt idx="8">
                  <c:v>4891303.125</c:v>
                </c:pt>
                <c:pt idx="9">
                  <c:v>4891303.125</c:v>
                </c:pt>
                <c:pt idx="10">
                  <c:v>4891303.125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561-964C-BACA-77640B927BC4}"/>
            </c:ext>
          </c:extLst>
        </c:ser>
        <c:ser>
          <c:idx val="2"/>
          <c:order val="2"/>
          <c:tx>
            <c:v>Money Market (synthetic forward)</c:v>
          </c:tx>
          <c:marker>
            <c:symbol val="none"/>
          </c:marker>
          <c:cat>
            <c:numRef>
              <c:f>'Main Model'!$A$24:$A$34</c:f>
              <c:numCache>
                <c:formatCode>0.0000</c:formatCode>
                <c:ptCount val="11"/>
                <c:pt idx="0">
                  <c:v>1.1038049999999999</c:v>
                </c:pt>
                <c:pt idx="1">
                  <c:v>1.115424</c:v>
                </c:pt>
                <c:pt idx="2">
                  <c:v>1.127043</c:v>
                </c:pt>
                <c:pt idx="3">
                  <c:v>1.1386620000000001</c:v>
                </c:pt>
                <c:pt idx="4">
                  <c:v>1.1502810000000001</c:v>
                </c:pt>
                <c:pt idx="5">
                  <c:v>1.1618999999999999</c:v>
                </c:pt>
                <c:pt idx="6">
                  <c:v>1.173519</c:v>
                </c:pt>
                <c:pt idx="7">
                  <c:v>1.185138</c:v>
                </c:pt>
                <c:pt idx="8">
                  <c:v>1.1967570000000001</c:v>
                </c:pt>
                <c:pt idx="9">
                  <c:v>1.2083759999999999</c:v>
                </c:pt>
                <c:pt idx="10">
                  <c:v>1.2199949999999999</c:v>
                </c:pt>
              </c:numCache>
            </c:numRef>
          </c:cat>
          <c:val>
            <c:numRef>
              <c:f>'Main Model'!$D$24:$D$34</c:f>
              <c:numCache>
                <c:formatCode>\$#,##0</c:formatCode>
                <c:ptCount val="11"/>
                <c:pt idx="0">
                  <c:v>5243640.4728825875</c:v>
                </c:pt>
                <c:pt idx="1">
                  <c:v>5243640.4728825875</c:v>
                </c:pt>
                <c:pt idx="2">
                  <c:v>5243640.4728825875</c:v>
                </c:pt>
                <c:pt idx="3">
                  <c:v>5243640.4728825875</c:v>
                </c:pt>
                <c:pt idx="4">
                  <c:v>5243640.4728825875</c:v>
                </c:pt>
                <c:pt idx="5">
                  <c:v>5243640.4728825875</c:v>
                </c:pt>
                <c:pt idx="6">
                  <c:v>5243640.4728825875</c:v>
                </c:pt>
                <c:pt idx="7">
                  <c:v>5243640.4728825875</c:v>
                </c:pt>
                <c:pt idx="8">
                  <c:v>5243640.4728825875</c:v>
                </c:pt>
                <c:pt idx="9">
                  <c:v>5243640.4728825875</c:v>
                </c:pt>
                <c:pt idx="10">
                  <c:v>5243640.4728825875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561-964C-BACA-77640B927BC4}"/>
            </c:ext>
          </c:extLst>
        </c:ser>
        <c:ser>
          <c:idx val="3"/>
          <c:order val="3"/>
          <c:tx>
            <c:v>Put Option (net premium)</c:v>
          </c:tx>
          <c:marker>
            <c:symbol val="none"/>
          </c:marker>
          <c:cat>
            <c:numRef>
              <c:f>'Main Model'!$A$24:$A$34</c:f>
              <c:numCache>
                <c:formatCode>0.0000</c:formatCode>
                <c:ptCount val="11"/>
                <c:pt idx="0">
                  <c:v>1.1038049999999999</c:v>
                </c:pt>
                <c:pt idx="1">
                  <c:v>1.115424</c:v>
                </c:pt>
                <c:pt idx="2">
                  <c:v>1.127043</c:v>
                </c:pt>
                <c:pt idx="3">
                  <c:v>1.1386620000000001</c:v>
                </c:pt>
                <c:pt idx="4">
                  <c:v>1.1502810000000001</c:v>
                </c:pt>
                <c:pt idx="5">
                  <c:v>1.1618999999999999</c:v>
                </c:pt>
                <c:pt idx="6">
                  <c:v>1.173519</c:v>
                </c:pt>
                <c:pt idx="7">
                  <c:v>1.185138</c:v>
                </c:pt>
                <c:pt idx="8">
                  <c:v>1.1967570000000001</c:v>
                </c:pt>
                <c:pt idx="9">
                  <c:v>1.2083759999999999</c:v>
                </c:pt>
                <c:pt idx="10">
                  <c:v>1.2199949999999999</c:v>
                </c:pt>
              </c:numCache>
            </c:numRef>
          </c:cat>
          <c:val>
            <c:numRef>
              <c:f>'Main Model'!$E$24:$E$34</c:f>
              <c:numCache>
                <c:formatCode>\$#,##0</c:formatCode>
                <c:ptCount val="11"/>
                <c:pt idx="0">
                  <c:v>4897138.9387500007</c:v>
                </c:pt>
                <c:pt idx="1">
                  <c:v>4949398.2960000001</c:v>
                </c:pt>
                <c:pt idx="2">
                  <c:v>5001657.6532500004</c:v>
                </c:pt>
                <c:pt idx="3">
                  <c:v>5053917.0104999999</c:v>
                </c:pt>
                <c:pt idx="4">
                  <c:v>5106176.3677500011</c:v>
                </c:pt>
                <c:pt idx="5">
                  <c:v>5158435.7250000006</c:v>
                </c:pt>
                <c:pt idx="6">
                  <c:v>5210695.08225</c:v>
                </c:pt>
                <c:pt idx="7">
                  <c:v>5262954.4395000003</c:v>
                </c:pt>
                <c:pt idx="8">
                  <c:v>5315213.7967500007</c:v>
                </c:pt>
                <c:pt idx="9">
                  <c:v>5367473.1539999992</c:v>
                </c:pt>
                <c:pt idx="10">
                  <c:v>5419732.5112500004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561-964C-BACA-77640B927B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10001"/>
        <c:axId val="50010002"/>
      </c:line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EUR/USD at maturity (S_T)</a:t>
                </a:r>
              </a:p>
            </c:rich>
          </c:tx>
          <c:overlay val="0"/>
        </c:title>
        <c:numFmt formatCode="0.0000" sourceLinked="1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USD proceeds</a:t>
                </a:r>
              </a:p>
            </c:rich>
          </c:tx>
          <c:overlay val="0"/>
        </c:title>
        <c:numFmt formatCode="\$#,##0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36</xdr:row>
      <xdr:rowOff>0</xdr:rowOff>
    </xdr:from>
    <xdr:to>
      <xdr:col>10</xdr:col>
      <xdr:colOff>304800</xdr:colOff>
      <xdr:row>50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"/>
  <sheetViews>
    <sheetView topLeftCell="A13" workbookViewId="0">
      <selection activeCell="B18" sqref="B18"/>
    </sheetView>
  </sheetViews>
  <sheetFormatPr baseColWidth="10" defaultColWidth="8.83203125" defaultRowHeight="15" x14ac:dyDescent="0.2"/>
  <cols>
    <col min="2" max="2" width="10.1640625" bestFit="1" customWidth="1"/>
  </cols>
  <sheetData>
    <row r="1" spans="1:3" x14ac:dyDescent="0.2">
      <c r="A1" s="1" t="s">
        <v>0</v>
      </c>
    </row>
    <row r="3" spans="1:3" x14ac:dyDescent="0.2">
      <c r="A3" s="2" t="s">
        <v>1</v>
      </c>
    </row>
    <row r="4" spans="1:3" x14ac:dyDescent="0.2">
      <c r="A4" t="s">
        <v>2</v>
      </c>
      <c r="B4" s="3">
        <v>4500000</v>
      </c>
      <c r="C4" t="s">
        <v>3</v>
      </c>
    </row>
    <row r="5" spans="1:3" x14ac:dyDescent="0.2">
      <c r="A5" t="s">
        <v>4</v>
      </c>
      <c r="B5" s="3">
        <v>1.1618999999999999</v>
      </c>
      <c r="C5" t="s">
        <v>5</v>
      </c>
    </row>
    <row r="6" spans="1:3" x14ac:dyDescent="0.2">
      <c r="A6" t="s">
        <v>6</v>
      </c>
      <c r="B6" s="3">
        <v>1.0874999999999999</v>
      </c>
      <c r="C6" t="s">
        <v>5</v>
      </c>
    </row>
    <row r="7" spans="1:3" x14ac:dyDescent="0.2">
      <c r="A7" t="s">
        <v>7</v>
      </c>
      <c r="B7" s="3">
        <v>3.6600000000000001E-2</v>
      </c>
      <c r="C7" t="s">
        <v>8</v>
      </c>
    </row>
    <row r="8" spans="1:3" x14ac:dyDescent="0.2">
      <c r="A8" t="s">
        <v>9</v>
      </c>
      <c r="B8" s="3">
        <v>3.3099999999999997E-2</v>
      </c>
      <c r="C8" t="s">
        <v>8</v>
      </c>
    </row>
    <row r="9" spans="1:3" x14ac:dyDescent="0.2">
      <c r="A9" t="s">
        <v>10</v>
      </c>
      <c r="B9" s="3">
        <v>1</v>
      </c>
      <c r="C9" t="s">
        <v>11</v>
      </c>
    </row>
    <row r="10" spans="1:3" x14ac:dyDescent="0.2">
      <c r="A10" t="s">
        <v>12</v>
      </c>
      <c r="B10" s="3">
        <v>1.0874999999999999</v>
      </c>
      <c r="C10" t="s">
        <v>5</v>
      </c>
    </row>
    <row r="11" spans="1:3" x14ac:dyDescent="0.2">
      <c r="A11" t="s">
        <v>13</v>
      </c>
      <c r="B11" s="3">
        <v>1.4999999999999999E-2</v>
      </c>
      <c r="C11" t="s">
        <v>5</v>
      </c>
    </row>
    <row r="12" spans="1:3" x14ac:dyDescent="0.2">
      <c r="A12" t="s">
        <v>14</v>
      </c>
      <c r="B12" s="3">
        <v>1.7999999999999999E-2</v>
      </c>
      <c r="C12" t="s">
        <v>5</v>
      </c>
    </row>
    <row r="13" spans="1:3" x14ac:dyDescent="0.2">
      <c r="A13" t="s">
        <v>15</v>
      </c>
      <c r="B13" s="3">
        <v>5.0000000000000001E-4</v>
      </c>
      <c r="C13" t="s">
        <v>8</v>
      </c>
    </row>
    <row r="15" spans="1:3" x14ac:dyDescent="0.2">
      <c r="A15" s="2" t="s">
        <v>16</v>
      </c>
    </row>
    <row r="16" spans="1:3" x14ac:dyDescent="0.2">
      <c r="A16" s="1" t="s">
        <v>17</v>
      </c>
      <c r="B16" s="4">
        <v>4893750</v>
      </c>
    </row>
    <row r="17" spans="1:5" x14ac:dyDescent="0.2">
      <c r="A17" s="1" t="s">
        <v>18</v>
      </c>
      <c r="B17" s="4">
        <v>4891303.125</v>
      </c>
    </row>
    <row r="18" spans="1:5" x14ac:dyDescent="0.2">
      <c r="A18" s="1" t="s">
        <v>19</v>
      </c>
      <c r="B18" s="4">
        <v>5243640.4728825875</v>
      </c>
    </row>
    <row r="19" spans="1:5" x14ac:dyDescent="0.2">
      <c r="A19" s="1" t="s">
        <v>20</v>
      </c>
      <c r="B19" s="4">
        <v>67500</v>
      </c>
    </row>
    <row r="20" spans="1:5" x14ac:dyDescent="0.2">
      <c r="A20" s="1" t="s">
        <v>21</v>
      </c>
      <c r="B20" s="4">
        <v>81000</v>
      </c>
    </row>
    <row r="22" spans="1:5" x14ac:dyDescent="0.2">
      <c r="A22" s="2" t="s">
        <v>22</v>
      </c>
    </row>
    <row r="23" spans="1:5" x14ac:dyDescent="0.2">
      <c r="A23" s="2" t="s">
        <v>23</v>
      </c>
      <c r="B23" s="2" t="s">
        <v>24</v>
      </c>
      <c r="C23" s="2" t="s">
        <v>25</v>
      </c>
      <c r="D23" s="2" t="s">
        <v>26</v>
      </c>
      <c r="E23" s="2" t="s">
        <v>27</v>
      </c>
    </row>
    <row r="24" spans="1:5" x14ac:dyDescent="0.2">
      <c r="A24" s="5">
        <v>1.1038049999999999</v>
      </c>
      <c r="B24" s="4">
        <v>4964638.9387500007</v>
      </c>
      <c r="C24" s="4">
        <v>4891303.125</v>
      </c>
      <c r="D24" s="4">
        <v>5243640.4728825875</v>
      </c>
      <c r="E24" s="4">
        <v>4897138.9387500007</v>
      </c>
    </row>
    <row r="25" spans="1:5" x14ac:dyDescent="0.2">
      <c r="A25" s="5">
        <v>1.115424</v>
      </c>
      <c r="B25" s="4">
        <v>5016898.2960000001</v>
      </c>
      <c r="C25" s="4">
        <v>4891303.125</v>
      </c>
      <c r="D25" s="4">
        <v>5243640.4728825875</v>
      </c>
      <c r="E25" s="4">
        <v>4949398.2960000001</v>
      </c>
    </row>
    <row r="26" spans="1:5" x14ac:dyDescent="0.2">
      <c r="A26" s="5">
        <v>1.127043</v>
      </c>
      <c r="B26" s="4">
        <v>5069157.6532500004</v>
      </c>
      <c r="C26" s="4">
        <v>4891303.125</v>
      </c>
      <c r="D26" s="4">
        <v>5243640.4728825875</v>
      </c>
      <c r="E26" s="4">
        <v>5001657.6532500004</v>
      </c>
    </row>
    <row r="27" spans="1:5" x14ac:dyDescent="0.2">
      <c r="A27" s="5">
        <v>1.1386620000000001</v>
      </c>
      <c r="B27" s="4">
        <v>5121417.0104999999</v>
      </c>
      <c r="C27" s="4">
        <v>4891303.125</v>
      </c>
      <c r="D27" s="4">
        <v>5243640.4728825875</v>
      </c>
      <c r="E27" s="4">
        <v>5053917.0104999999</v>
      </c>
    </row>
    <row r="28" spans="1:5" x14ac:dyDescent="0.2">
      <c r="A28" s="5">
        <v>1.1502810000000001</v>
      </c>
      <c r="B28" s="4">
        <v>5173676.3677500011</v>
      </c>
      <c r="C28" s="4">
        <v>4891303.125</v>
      </c>
      <c r="D28" s="4">
        <v>5243640.4728825875</v>
      </c>
      <c r="E28" s="4">
        <v>5106176.3677500011</v>
      </c>
    </row>
    <row r="29" spans="1:5" x14ac:dyDescent="0.2">
      <c r="A29" s="5">
        <v>1.1618999999999999</v>
      </c>
      <c r="B29" s="4">
        <v>5225935.7250000006</v>
      </c>
      <c r="C29" s="4">
        <v>4891303.125</v>
      </c>
      <c r="D29" s="4">
        <v>5243640.4728825875</v>
      </c>
      <c r="E29" s="4">
        <v>5158435.7250000006</v>
      </c>
    </row>
    <row r="30" spans="1:5" x14ac:dyDescent="0.2">
      <c r="A30" s="5">
        <v>1.173519</v>
      </c>
      <c r="B30" s="4">
        <v>5278195.08225</v>
      </c>
      <c r="C30" s="4">
        <v>4891303.125</v>
      </c>
      <c r="D30" s="4">
        <v>5243640.4728825875</v>
      </c>
      <c r="E30" s="4">
        <v>5210695.08225</v>
      </c>
    </row>
    <row r="31" spans="1:5" x14ac:dyDescent="0.2">
      <c r="A31" s="5">
        <v>1.185138</v>
      </c>
      <c r="B31" s="4">
        <v>5330454.4395000003</v>
      </c>
      <c r="C31" s="4">
        <v>4891303.125</v>
      </c>
      <c r="D31" s="4">
        <v>5243640.4728825875</v>
      </c>
      <c r="E31" s="4">
        <v>5262954.4395000003</v>
      </c>
    </row>
    <row r="32" spans="1:5" x14ac:dyDescent="0.2">
      <c r="A32" s="5">
        <v>1.1967570000000001</v>
      </c>
      <c r="B32" s="4">
        <v>5382713.7967500007</v>
      </c>
      <c r="C32" s="4">
        <v>4891303.125</v>
      </c>
      <c r="D32" s="4">
        <v>5243640.4728825875</v>
      </c>
      <c r="E32" s="4">
        <v>5315213.7967500007</v>
      </c>
    </row>
    <row r="33" spans="1:5" x14ac:dyDescent="0.2">
      <c r="A33" s="5">
        <v>1.2083759999999999</v>
      </c>
      <c r="B33" s="4">
        <v>5434973.1539999992</v>
      </c>
      <c r="C33" s="4">
        <v>4891303.125</v>
      </c>
      <c r="D33" s="4">
        <v>5243640.4728825875</v>
      </c>
      <c r="E33" s="4">
        <v>5367473.1539999992</v>
      </c>
    </row>
    <row r="34" spans="1:5" x14ac:dyDescent="0.2">
      <c r="A34" s="5">
        <v>1.2199949999999999</v>
      </c>
      <c r="B34" s="4">
        <v>5487232.5112500004</v>
      </c>
      <c r="C34" s="4">
        <v>4891303.125</v>
      </c>
      <c r="D34" s="4">
        <v>5243640.4728825875</v>
      </c>
      <c r="E34" s="4">
        <v>5419732.5112500004</v>
      </c>
    </row>
    <row r="36" spans="1:5" x14ac:dyDescent="0.2">
      <c r="A36" s="2" t="s">
        <v>28</v>
      </c>
    </row>
    <row r="37" spans="1:5" x14ac:dyDescent="0.2">
      <c r="A37" s="2" t="s">
        <v>29</v>
      </c>
      <c r="B37" s="2" t="s">
        <v>30</v>
      </c>
      <c r="C37" s="2" t="s">
        <v>31</v>
      </c>
      <c r="D37" s="2" t="s">
        <v>32</v>
      </c>
      <c r="E37" s="2" t="s">
        <v>33</v>
      </c>
    </row>
    <row r="38" spans="1:5" x14ac:dyDescent="0.2">
      <c r="A38" t="s">
        <v>34</v>
      </c>
      <c r="B38" s="4">
        <v>4964638.9387500007</v>
      </c>
      <c r="C38" s="4">
        <v>4891303.125</v>
      </c>
      <c r="D38" s="4">
        <v>5243640.4728825875</v>
      </c>
      <c r="E38" s="4">
        <v>4897138.9387500007</v>
      </c>
    </row>
    <row r="39" spans="1:5" x14ac:dyDescent="0.2">
      <c r="A39" t="s">
        <v>35</v>
      </c>
      <c r="B39" s="4">
        <v>5487232.5112500004</v>
      </c>
      <c r="C39" s="4">
        <v>4891303.125</v>
      </c>
      <c r="D39" s="4">
        <v>5243640.4728825875</v>
      </c>
      <c r="E39" s="4">
        <v>5419732.5112500004</v>
      </c>
    </row>
    <row r="40" spans="1:5" x14ac:dyDescent="0.2">
      <c r="A40" t="s">
        <v>36</v>
      </c>
      <c r="B40" s="4">
        <v>5225935.7250000006</v>
      </c>
      <c r="C40" s="4">
        <v>4891303.125</v>
      </c>
      <c r="D40" s="4">
        <v>5243640.4728825875</v>
      </c>
      <c r="E40" s="4">
        <v>5158435.7250000006</v>
      </c>
    </row>
    <row r="41" spans="1:5" x14ac:dyDescent="0.2">
      <c r="A41" t="s">
        <v>37</v>
      </c>
      <c r="B41" s="4">
        <v>173324.67978338909</v>
      </c>
      <c r="C41" s="4">
        <v>0</v>
      </c>
      <c r="D41" s="4">
        <v>0</v>
      </c>
      <c r="E41" s="4">
        <v>173324.67978338909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3"/>
  <sheetViews>
    <sheetView tabSelected="1" topLeftCell="A3" workbookViewId="0"/>
  </sheetViews>
  <sheetFormatPr baseColWidth="10" defaultColWidth="8.83203125" defaultRowHeight="15" x14ac:dyDescent="0.2"/>
  <sheetData>
    <row r="1" spans="1:1" x14ac:dyDescent="0.2">
      <c r="A1" s="2" t="s">
        <v>38</v>
      </c>
    </row>
    <row r="2" spans="1:1" x14ac:dyDescent="0.2">
      <c r="A2" t="s">
        <v>39</v>
      </c>
    </row>
    <row r="3" spans="1:1" x14ac:dyDescent="0.2">
      <c r="A3" t="s">
        <v>40</v>
      </c>
    </row>
    <row r="4" spans="1:1" x14ac:dyDescent="0.2">
      <c r="A4" t="s">
        <v>41</v>
      </c>
    </row>
    <row r="6" spans="1:1" x14ac:dyDescent="0.2">
      <c r="A6" t="s">
        <v>42</v>
      </c>
    </row>
    <row r="7" spans="1:1" x14ac:dyDescent="0.2">
      <c r="A7" t="s">
        <v>43</v>
      </c>
    </row>
    <row r="8" spans="1:1" x14ac:dyDescent="0.2">
      <c r="A8" t="s">
        <v>44</v>
      </c>
    </row>
    <row r="9" spans="1:1" x14ac:dyDescent="0.2">
      <c r="A9" t="s">
        <v>45</v>
      </c>
    </row>
    <row r="10" spans="1:1" x14ac:dyDescent="0.2">
      <c r="A10" t="s">
        <v>46</v>
      </c>
    </row>
    <row r="11" spans="1:1" x14ac:dyDescent="0.2">
      <c r="A11" t="s">
        <v>47</v>
      </c>
    </row>
    <row r="13" spans="1:1" x14ac:dyDescent="0.2">
      <c r="A13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Model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Francesca Murphy</cp:lastModifiedBy>
  <dcterms:created xsi:type="dcterms:W3CDTF">2025-11-13T02:49:42Z</dcterms:created>
  <dcterms:modified xsi:type="dcterms:W3CDTF">2025-11-17T21:30:31Z</dcterms:modified>
</cp:coreProperties>
</file>